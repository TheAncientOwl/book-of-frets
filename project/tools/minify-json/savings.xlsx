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540" activeTab="2"/>
  </bookViews>
  <sheets>
    <sheet name="Iteration 1" sheetId="1" r:id="rId1"/>
    <sheet name="Iteration 2" sheetId="2" r:id="rId2"/>
    <sheet name="Iteration 3" sheetId="3" r:id="rId3"/>
  </sheets>
  <definedNames>
    <definedName name="_xlnm._FilterDatabase" localSheetId="0" hidden="1">'Iteration 1'!$A$1:$J$41</definedName>
    <definedName name="_xlnm._FilterDatabase" localSheetId="1" hidden="1">'Iteration 2'!$A$1:$M$33</definedName>
    <definedName name="_xlnm._FilterDatabase" localSheetId="2" hidden="1">'Iteration 3'!$A$1:$M$33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<sst xmlns="http://schemas.openxmlformats.org/spreadsheetml/2006/main" count="183" uniqueCount="60">
  <si>
    <t>File</t>
  </si>
  <si>
    <t>Initial</t>
  </si>
  <si>
    <t>Optimized</t>
  </si>
  <si>
    <t>Minified</t>
  </si>
  <si>
    <t>Initial - Optimized</t>
  </si>
  <si>
    <t>Initial - Optimized %</t>
  </si>
  <si>
    <t>Optimized - Minified</t>
  </si>
  <si>
    <t>Optimized - Minified %</t>
  </si>
  <si>
    <t>Initial - Minified</t>
  </si>
  <si>
    <t>Initial - Minified %</t>
  </si>
  <si>
    <t>public/songs/adore-you/config.json</t>
  </si>
  <si>
    <t>public/songs/all-i-want-for-christmas-is-you/config.json</t>
  </si>
  <si>
    <t>public/songs/as-it-was/config.json</t>
  </si>
  <si>
    <t>public/songs/before-you-go/config.json</t>
  </si>
  <si>
    <t>public/songs/crazy-little-thing-called-love/config.json</t>
  </si>
  <si>
    <t>public/songs/dusk-till-dawn/config.json</t>
  </si>
  <si>
    <t>public/songs/flowers-need-rain/config.json</t>
  </si>
  <si>
    <t>public/songs/golden-acoustic-v1/config.json</t>
  </si>
  <si>
    <t>public/songs/hey-soul-sister/config.json</t>
  </si>
  <si>
    <t>public/songs/i-know-what-you-did-last-summer/config.json</t>
  </si>
  <si>
    <t>public/songs/jingle-bell-rock/config.json</t>
  </si>
  <si>
    <t>public/songs/just-the-two-of-us-lvl1/config.json</t>
  </si>
  <si>
    <t>public/songs/just-the-two-of-us-lvl2/config.json</t>
  </si>
  <si>
    <t>public/songs/let-me-love-you/config.json</t>
  </si>
  <si>
    <t>public/songs/never-gonna-give-you-up/config.json</t>
  </si>
  <si>
    <t>public/songs/nice-to-meet-you/config.json</t>
  </si>
  <si>
    <t>public/songs/o-stea/config.json</t>
  </si>
  <si>
    <t>public/songs/radioactive/config.json</t>
  </si>
  <si>
    <t>public/songs/riptide/config.json</t>
  </si>
  <si>
    <t>public/songs/run-away-to-mars/config.json</t>
  </si>
  <si>
    <t>public/songs/save-your-tears/config.json</t>
  </si>
  <si>
    <t>public/songs/seven-nation-army/config.json</t>
  </si>
  <si>
    <t>r</t>
  </si>
  <si>
    <t>public/songs/seven-nation-army-1string/config.json</t>
  </si>
  <si>
    <t>public/songs/shivers/config.json</t>
  </si>
  <si>
    <t>public/songs/sweater-weather/config.json</t>
  </si>
  <si>
    <t>public/songs/the-times-they-are-a-changin/config.json</t>
  </si>
  <si>
    <t>public/songs/viva-la-vida-easy/config.json</t>
  </si>
  <si>
    <t>public/songs/wake-me-up/config.json</t>
  </si>
  <si>
    <t>public/songs/watermelon-sugar/config.json</t>
  </si>
  <si>
    <t>public/songs/what-ive-done/config.json</t>
  </si>
  <si>
    <t>public/songs/without-you/config.json</t>
  </si>
  <si>
    <t>public/themes/banana/config.json</t>
  </si>
  <si>
    <t>public/themes/bright-sky/config.json</t>
  </si>
  <si>
    <t>public/themes/bubble-gum/config.json</t>
  </si>
  <si>
    <t>public/themes/catpuccin/config.json</t>
  </si>
  <si>
    <t>public/themes/cherry/config.json</t>
  </si>
  <si>
    <t>public/themes/lavander/config.json</t>
  </si>
  <si>
    <t>public/themes/nature/config.json</t>
  </si>
  <si>
    <t>public/themes/peach/config.json</t>
  </si>
  <si>
    <t>public/themes/pop-n-lock/config.json</t>
  </si>
  <si>
    <t>Total bytes</t>
  </si>
  <si>
    <t>Total Kbytes</t>
  </si>
  <si>
    <t>Minified IT1</t>
  </si>
  <si>
    <t>Minified IT 1 - Minified</t>
  </si>
  <si>
    <t>Minified IT 1 - Minified %</t>
  </si>
  <si>
    <t>public/songs/issues/config.json</t>
  </si>
  <si>
    <t>Archived</t>
  </si>
  <si>
    <t>Minified - Archived</t>
  </si>
  <si>
    <t>Minified - Archived 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</si>
</sst>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8" applyNumberFormat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ont="1" applyBorder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 vertical="center"/>
    </xf>
    <xf numFmtId="0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NumberFormat="1" applyBorder="1">
      <alignment vertical="center"/>
    </xf>
    <xf numFmtId="10" fontId="0" fillId="0" borderId="1" xfId="0" applyNumberFormat="1" applyBorder="1">
      <alignment vertical="center"/>
    </xf>
    <xf numFmtId="10" fontId="1" fillId="3" borderId="2" xfId="0" applyNumberFormat="1" applyFont="1" applyFill="1" applyBorder="1" applyAlignment="1">
      <alignment horizontal="center" vertical="center"/>
    </xf>
    <xf numFmtId="10" fontId="1" fillId="3" borderId="4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8">
    <dxf>
      <font>
        <b val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0" formatCode="0.0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0" formatCode="0.0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0" formatCode="0.0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</dxf>
    <dxf>
      <numFmt numFmtId="10" formatCode="0.00%"/>
    </dxf>
    <dxf>
      <numFmt numFmtId="0" formatCode="General"/>
    </dxf>
    <dxf>
      <numFmt numFmtId="10" formatCode="0.00%"/>
    </dxf>
    <dxf>
      <fill>
        <patternFill patternType="solid">
          <fgColor theme="6" tint="0.799981688894314"/>
          <bgColor theme="6" tint="0.799981688894314"/>
        </patternFill>
      </fill>
    </dxf>
    <dxf>
      <fill>
        <patternFill patternType="solid">
          <fgColor theme="6" tint="0.799981688894314"/>
          <bgColor theme="6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6"/>
        </top>
      </border>
    </dxf>
    <dxf>
      <font>
        <b val="1"/>
        <color theme="1"/>
      </font>
      <border>
        <bottom style="medium">
          <color theme="6"/>
        </bottom>
      </border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 tint="0.399975585192419"/>
        </vertical>
        <horizontal style="thin">
          <color theme="6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2_Accent3" pivot="0" count="7" xr9:uid="{D0195D7C-539C-47D7-8DB9-EB11E75DCF31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ables/table1.xml><?xml version="1.0" encoding="utf-8"?>
<table xmlns="http://schemas.openxmlformats.org/spreadsheetml/2006/main" id="1" name="Table1" displayName="Table1" ref="A1:J41" totalsRowShown="0">
  <autoFilter xmlns:etc="http://www.wps.cn/officeDocument/2017/etCustomData" ref="A1:J41" etc:filterBottomFollowUsedRange="0"/>
  <sortState ref="A1:J41">
    <sortCondition ref="A1"/>
  </sortState>
  <tableColumns count="10">
    <tableColumn id="1" name="File" dataDxfId="0"/>
    <tableColumn id="2" name="Initial" dataDxfId="1"/>
    <tableColumn id="3" name="Optimized" dataDxfId="2"/>
    <tableColumn id="4" name="Minified" dataDxfId="3"/>
    <tableColumn id="5" name="Initial - Optimized" dataDxfId="4">
      <calculatedColumnFormula>B2-C2</calculatedColumnFormula>
    </tableColumn>
    <tableColumn id="6" name="Initial - Optimized %" dataDxfId="5">
      <calculatedColumnFormula>E2/B2</calculatedColumnFormula>
    </tableColumn>
    <tableColumn id="7" name="Optimized - Minified" dataDxfId="6">
      <calculatedColumnFormula>C2-D2</calculatedColumnFormula>
    </tableColumn>
    <tableColumn id="8" name="Optimized - Minified %" dataDxfId="7">
      <calculatedColumnFormula>G2/B2</calculatedColumnFormula>
    </tableColumn>
    <tableColumn id="9" name="Initial - Minified" dataDxfId="8">
      <calculatedColumnFormula>B2-D2</calculatedColumnFormula>
    </tableColumn>
    <tableColumn id="10" name="Initial - Minified %" dataDxfId="9">
      <calculatedColumnFormula>I2/B2</calculatedColumnFormula>
    </tableColumn>
  </tableColumns>
  <tableStyleInfo name="TableStylePreset2_Accent3" showFirstColumn="0" showLastColumn="0" showRowStripes="1" showColumnStripes="0"/>
</table>
</file>

<file path=xl/tables/table2.xml><?xml version="1.0" encoding="utf-8"?>
<table xmlns="http://schemas.openxmlformats.org/spreadsheetml/2006/main" id="2" name="Table1_3" displayName="Table1_3" ref="A1:M33" totalsRowShown="0">
  <autoFilter xmlns:etc="http://www.wps.cn/officeDocument/2017/etCustomData" ref="A1:M33" etc:filterBottomFollowUsedRange="0"/>
  <sortState ref="A1:M33">
    <sortCondition ref="G1" descending="1"/>
  </sortState>
  <tableColumns count="13">
    <tableColumn id="1" name="File"/>
    <tableColumn id="2" name="Initial"/>
    <tableColumn id="3" name="Optimized"/>
    <tableColumn id="4" name="Minified"/>
    <tableColumn id="11" name="Minified IT1"/>
    <tableColumn id="13" name="Minified IT 1 - Minified" dataDxfId="10">
      <calculatedColumnFormula>E2-D2</calculatedColumnFormula>
    </tableColumn>
    <tableColumn id="12" name="Minified IT 1 - Minified %" dataDxfId="11">
      <calculatedColumnFormula>F2/E2</calculatedColumnFormula>
    </tableColumn>
    <tableColumn id="5" name="Initial - Optimized">
      <calculatedColumnFormula>B2-C2</calculatedColumnFormula>
    </tableColumn>
    <tableColumn id="6" name="Initial - Optimized %">
      <calculatedColumnFormula>H2/B2</calculatedColumnFormula>
    </tableColumn>
    <tableColumn id="7" name="Optimized - Minified">
      <calculatedColumnFormula>C2-D2</calculatedColumnFormula>
    </tableColumn>
    <tableColumn id="8" name="Optimized - Minified %">
      <calculatedColumnFormula>J2/B2</calculatedColumnFormula>
    </tableColumn>
    <tableColumn id="9" name="Initial - Minified">
      <calculatedColumnFormula>B2-D2</calculatedColumnFormula>
    </tableColumn>
    <tableColumn id="10" name="Initial - Minified %">
      <calculatedColumnFormula>L2/B2</calculatedColumnFormula>
    </tableColumn>
  </tableColumns>
  <tableStyleInfo name="TableStylePreset2_Accent3" showFirstColumn="0" showLastColumn="0" showRowStripes="1" showColumnStripes="0"/>
</table>
</file>

<file path=xl/tables/table3.xml><?xml version="1.0" encoding="utf-8"?>
<table xmlns="http://schemas.openxmlformats.org/spreadsheetml/2006/main" id="3" name="Table1_34" displayName="Table1_34" ref="A1:M33" totalsRowShown="0">
  <autoFilter xmlns:etc="http://www.wps.cn/officeDocument/2017/etCustomData" ref="A1:M33" etc:filterBottomFollowUsedRange="0"/>
  <sortState ref="A2:M33">
    <sortCondition ref="E1" descending="1"/>
  </sortState>
  <tableColumns count="13">
    <tableColumn id="1" name="File"/>
    <tableColumn id="2" name="Initial"/>
    <tableColumn id="3" name="Optimized"/>
    <tableColumn id="4" name="Minified"/>
    <tableColumn id="5" name="Archived"/>
    <tableColumn id="6" name="Minified - Archived" dataDxfId="12">
      <calculatedColumnFormula>D2-E2</calculatedColumnFormula>
    </tableColumn>
    <tableColumn id="7" name="Minified - Archived %" dataDxfId="13">
      <calculatedColumnFormula>F2/D2</calculatedColumnFormula>
    </tableColumn>
    <tableColumn id="8" name="Initial - Optimized">
      <calculatedColumnFormula>B2-C2</calculatedColumnFormula>
    </tableColumn>
    <tableColumn id="9" name="Initial - Optimized %">
      <calculatedColumnFormula>H2/B2</calculatedColumnFormula>
    </tableColumn>
    <tableColumn id="10" name="Optimized - Minified">
      <calculatedColumnFormula>C2-D2</calculatedColumnFormula>
    </tableColumn>
    <tableColumn id="11" name="Optimized - Minified %">
      <calculatedColumnFormula>J2/B2</calculatedColumnFormula>
    </tableColumn>
    <tableColumn id="12" name="Initial - Minified">
      <calculatedColumnFormula>B2-D2</calculatedColumnFormula>
    </tableColumn>
    <tableColumn id="13" name="Initial - Minified %">
      <calculatedColumnFormula>L2/B2</calculatedColumnFormula>
    </tableColumn>
  </tableColumns>
  <tableStyleInfo name="TableStylePreset2_Accent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2"/>
  <sheetViews>
    <sheetView workbookViewId="0">
      <selection activeCell="B45" sqref="B45"/>
    </sheetView>
  </sheetViews>
  <sheetFormatPr defaultColWidth="9" defaultRowHeight="16.8"/>
  <cols>
    <col min="1" max="1" width="52.2109375" customWidth="1"/>
    <col min="2" max="2" width="12.359375" customWidth="1"/>
    <col min="3" max="3" width="15.625" customWidth="1"/>
    <col min="4" max="4" width="13.9296875" customWidth="1"/>
    <col min="5" max="5" width="22.5234375" customWidth="1"/>
    <col min="6" max="6" width="24.078125" customWidth="1"/>
    <col min="7" max="7" width="22.78125" customWidth="1"/>
    <col min="8" max="8" width="24.34375" customWidth="1"/>
    <col min="9" max="9" width="16.265625" customWidth="1"/>
    <col min="10" max="10" width="22.125" customWidth="1"/>
  </cols>
  <sheetData>
    <row r="1" s="1" customFormat="1" spans="1:22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spans="1:22">
      <c r="A2" s="4" t="s">
        <v>10</v>
      </c>
      <c r="B2" s="5">
        <v>2969</v>
      </c>
      <c r="C2" s="5">
        <v>2624</v>
      </c>
      <c r="D2" s="5">
        <v>1417</v>
      </c>
      <c r="E2" s="5">
        <f t="shared" ref="E2:E22" si="0">B2-C2</f>
        <v>345</v>
      </c>
      <c r="F2" s="15">
        <f t="shared" ref="F2:F41" si="1">E2/B2</f>
        <v>0.116200740990232</v>
      </c>
      <c r="G2" s="5">
        <f t="shared" ref="G2:G41" si="2">C2-D2</f>
        <v>1207</v>
      </c>
      <c r="H2" s="15">
        <f t="shared" ref="H2:H41" si="3">G2/B2</f>
        <v>0.406534186594813</v>
      </c>
      <c r="I2" s="5">
        <f t="shared" ref="I2:I41" si="4">B2-D2</f>
        <v>1552</v>
      </c>
      <c r="J2" s="15">
        <f t="shared" ref="J2:J41" si="5">I2/B2</f>
        <v>0.522734927585045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</row>
    <row r="3" spans="1:22">
      <c r="A3" s="4" t="s">
        <v>11</v>
      </c>
      <c r="B3" s="5">
        <v>4104</v>
      </c>
      <c r="C3" s="5">
        <v>3681</v>
      </c>
      <c r="D3" s="5">
        <v>1905</v>
      </c>
      <c r="E3" s="5">
        <f t="shared" si="0"/>
        <v>423</v>
      </c>
      <c r="F3" s="15">
        <f t="shared" si="1"/>
        <v>0.103070175438596</v>
      </c>
      <c r="G3" s="5">
        <f t="shared" si="2"/>
        <v>1776</v>
      </c>
      <c r="H3" s="15">
        <f t="shared" si="3"/>
        <v>0.432748538011696</v>
      </c>
      <c r="I3" s="5">
        <f t="shared" si="4"/>
        <v>2199</v>
      </c>
      <c r="J3" s="15">
        <f t="shared" si="5"/>
        <v>0.535818713450292</v>
      </c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</row>
    <row r="4" spans="1:22">
      <c r="A4" s="4" t="s">
        <v>12</v>
      </c>
      <c r="B4" s="5">
        <v>1401</v>
      </c>
      <c r="C4" s="5">
        <v>1080</v>
      </c>
      <c r="D4" s="5">
        <v>759</v>
      </c>
      <c r="E4" s="5">
        <f t="shared" si="0"/>
        <v>321</v>
      </c>
      <c r="F4" s="15">
        <f t="shared" si="1"/>
        <v>0.229122055674518</v>
      </c>
      <c r="G4" s="5">
        <f t="shared" si="2"/>
        <v>321</v>
      </c>
      <c r="H4" s="15">
        <f t="shared" si="3"/>
        <v>0.229122055674518</v>
      </c>
      <c r="I4" s="5">
        <f t="shared" si="4"/>
        <v>642</v>
      </c>
      <c r="J4" s="15">
        <f t="shared" si="5"/>
        <v>0.458244111349036</v>
      </c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spans="1:22">
      <c r="A5" s="4" t="s">
        <v>13</v>
      </c>
      <c r="B5" s="5">
        <v>3445</v>
      </c>
      <c r="C5" s="5">
        <v>2982</v>
      </c>
      <c r="D5" s="5">
        <v>1656</v>
      </c>
      <c r="E5" s="5">
        <f t="shared" si="0"/>
        <v>463</v>
      </c>
      <c r="F5" s="15">
        <f t="shared" si="1"/>
        <v>0.134397677793904</v>
      </c>
      <c r="G5" s="5">
        <f t="shared" si="2"/>
        <v>1326</v>
      </c>
      <c r="H5" s="15">
        <f t="shared" si="3"/>
        <v>0.384905660377359</v>
      </c>
      <c r="I5" s="5">
        <f t="shared" si="4"/>
        <v>1789</v>
      </c>
      <c r="J5" s="15">
        <f t="shared" si="5"/>
        <v>0.519303338171263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</row>
    <row r="6" spans="1:22">
      <c r="A6" s="4" t="s">
        <v>14</v>
      </c>
      <c r="B6" s="5">
        <v>8739</v>
      </c>
      <c r="C6" s="5">
        <v>7784</v>
      </c>
      <c r="D6" s="5">
        <v>3455</v>
      </c>
      <c r="E6" s="5">
        <f t="shared" si="0"/>
        <v>955</v>
      </c>
      <c r="F6" s="15">
        <f t="shared" si="1"/>
        <v>0.109280238013503</v>
      </c>
      <c r="G6" s="5">
        <f t="shared" si="2"/>
        <v>4329</v>
      </c>
      <c r="H6" s="15">
        <f t="shared" si="3"/>
        <v>0.495365602471679</v>
      </c>
      <c r="I6" s="5">
        <f t="shared" si="4"/>
        <v>5284</v>
      </c>
      <c r="J6" s="15">
        <f t="shared" si="5"/>
        <v>0.604645840485181</v>
      </c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</row>
    <row r="7" spans="1:22">
      <c r="A7" s="4" t="s">
        <v>15</v>
      </c>
      <c r="B7" s="5">
        <v>4690</v>
      </c>
      <c r="C7" s="5">
        <v>4261</v>
      </c>
      <c r="D7" s="8">
        <v>2095</v>
      </c>
      <c r="E7" s="5">
        <f t="shared" si="0"/>
        <v>429</v>
      </c>
      <c r="F7" s="15">
        <f t="shared" si="1"/>
        <v>0.0914712153518124</v>
      </c>
      <c r="G7" s="5">
        <f t="shared" si="2"/>
        <v>2166</v>
      </c>
      <c r="H7" s="15">
        <f t="shared" si="3"/>
        <v>0.46183368869936</v>
      </c>
      <c r="I7" s="5">
        <f t="shared" si="4"/>
        <v>2595</v>
      </c>
      <c r="J7" s="15">
        <f t="shared" si="5"/>
        <v>0.553304904051173</v>
      </c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</row>
    <row r="8" spans="1:22">
      <c r="A8" s="4" t="s">
        <v>16</v>
      </c>
      <c r="B8" s="5">
        <v>1503</v>
      </c>
      <c r="C8" s="5">
        <v>1492</v>
      </c>
      <c r="D8" s="5">
        <v>722</v>
      </c>
      <c r="E8" s="5">
        <f t="shared" si="0"/>
        <v>11</v>
      </c>
      <c r="F8" s="15">
        <f t="shared" si="1"/>
        <v>0.00731869594145043</v>
      </c>
      <c r="G8" s="5">
        <f t="shared" si="2"/>
        <v>770</v>
      </c>
      <c r="H8" s="15">
        <f t="shared" si="3"/>
        <v>0.51230871590153</v>
      </c>
      <c r="I8" s="5">
        <f t="shared" si="4"/>
        <v>781</v>
      </c>
      <c r="J8" s="15">
        <f t="shared" si="5"/>
        <v>0.519627411842981</v>
      </c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</row>
    <row r="9" spans="1:22">
      <c r="A9" s="4" t="s">
        <v>17</v>
      </c>
      <c r="B9" s="5">
        <v>7277</v>
      </c>
      <c r="C9" s="5">
        <v>6043</v>
      </c>
      <c r="D9" s="5">
        <v>2629</v>
      </c>
      <c r="E9" s="5">
        <f t="shared" si="0"/>
        <v>1234</v>
      </c>
      <c r="F9" s="15">
        <f t="shared" si="1"/>
        <v>0.1695753744675</v>
      </c>
      <c r="G9" s="5">
        <f t="shared" si="2"/>
        <v>3414</v>
      </c>
      <c r="H9" s="15">
        <f t="shared" si="3"/>
        <v>0.469149374742339</v>
      </c>
      <c r="I9" s="5">
        <f t="shared" si="4"/>
        <v>4648</v>
      </c>
      <c r="J9" s="15">
        <f t="shared" si="5"/>
        <v>0.638724749209839</v>
      </c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spans="1:22">
      <c r="A10" s="4" t="s">
        <v>18</v>
      </c>
      <c r="B10" s="5">
        <v>6365</v>
      </c>
      <c r="C10" s="5">
        <v>5270</v>
      </c>
      <c r="D10" s="5">
        <v>2446</v>
      </c>
      <c r="E10" s="5">
        <f t="shared" si="0"/>
        <v>1095</v>
      </c>
      <c r="F10" s="15">
        <f t="shared" si="1"/>
        <v>0.172034564021995</v>
      </c>
      <c r="G10" s="5">
        <f t="shared" si="2"/>
        <v>2824</v>
      </c>
      <c r="H10" s="15">
        <f t="shared" si="3"/>
        <v>0.443676355066771</v>
      </c>
      <c r="I10" s="5">
        <f t="shared" si="4"/>
        <v>3919</v>
      </c>
      <c r="J10" s="15">
        <f t="shared" si="5"/>
        <v>0.615710919088767</v>
      </c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spans="1:22">
      <c r="A11" s="4" t="s">
        <v>19</v>
      </c>
      <c r="B11" s="5">
        <v>7455</v>
      </c>
      <c r="C11" s="5">
        <v>5064</v>
      </c>
      <c r="D11" s="5">
        <v>2557</v>
      </c>
      <c r="E11" s="5">
        <f t="shared" si="0"/>
        <v>2391</v>
      </c>
      <c r="F11" s="15">
        <f t="shared" si="1"/>
        <v>0.320724346076459</v>
      </c>
      <c r="G11" s="5">
        <f t="shared" si="2"/>
        <v>2507</v>
      </c>
      <c r="H11" s="15">
        <f t="shared" si="3"/>
        <v>0.336284372904091</v>
      </c>
      <c r="I11" s="5">
        <f t="shared" si="4"/>
        <v>4898</v>
      </c>
      <c r="J11" s="15">
        <f t="shared" si="5"/>
        <v>0.65700871898055</v>
      </c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spans="1:22">
      <c r="A12" s="4" t="s">
        <v>20</v>
      </c>
      <c r="B12" s="5">
        <v>7753</v>
      </c>
      <c r="C12" s="5">
        <v>7175</v>
      </c>
      <c r="D12" s="5">
        <v>3067</v>
      </c>
      <c r="E12" s="5">
        <f t="shared" si="0"/>
        <v>578</v>
      </c>
      <c r="F12" s="15">
        <f t="shared" si="1"/>
        <v>0.0745517864052625</v>
      </c>
      <c r="G12" s="5">
        <f t="shared" si="2"/>
        <v>4108</v>
      </c>
      <c r="H12" s="15">
        <f t="shared" si="3"/>
        <v>0.529859409260931</v>
      </c>
      <c r="I12" s="5">
        <f t="shared" si="4"/>
        <v>4686</v>
      </c>
      <c r="J12" s="15">
        <f t="shared" si="5"/>
        <v>0.604411195666194</v>
      </c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spans="1:22">
      <c r="A13" s="4" t="s">
        <v>21</v>
      </c>
      <c r="B13" s="5">
        <v>2792</v>
      </c>
      <c r="C13" s="5">
        <v>2287</v>
      </c>
      <c r="D13" s="5">
        <v>1374</v>
      </c>
      <c r="E13" s="5">
        <f t="shared" si="0"/>
        <v>505</v>
      </c>
      <c r="F13" s="15">
        <f t="shared" si="1"/>
        <v>0.180873925501433</v>
      </c>
      <c r="G13" s="5">
        <f t="shared" si="2"/>
        <v>913</v>
      </c>
      <c r="H13" s="15">
        <f t="shared" si="3"/>
        <v>0.327005730659026</v>
      </c>
      <c r="I13" s="5">
        <f t="shared" si="4"/>
        <v>1418</v>
      </c>
      <c r="J13" s="15">
        <f t="shared" si="5"/>
        <v>0.507879656160458</v>
      </c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spans="1:22">
      <c r="A14" s="4" t="s">
        <v>22</v>
      </c>
      <c r="B14" s="5">
        <v>7533</v>
      </c>
      <c r="C14" s="5">
        <v>5947</v>
      </c>
      <c r="D14" s="5">
        <v>2820</v>
      </c>
      <c r="E14" s="5">
        <f t="shared" si="0"/>
        <v>1586</v>
      </c>
      <c r="F14" s="15">
        <f t="shared" si="1"/>
        <v>0.210540289393336</v>
      </c>
      <c r="G14" s="5">
        <f t="shared" si="2"/>
        <v>3127</v>
      </c>
      <c r="H14" s="15">
        <f t="shared" si="3"/>
        <v>0.415106863135537</v>
      </c>
      <c r="I14" s="5">
        <f t="shared" si="4"/>
        <v>4713</v>
      </c>
      <c r="J14" s="15">
        <f t="shared" si="5"/>
        <v>0.625647152528873</v>
      </c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spans="1:22">
      <c r="A15" s="4" t="s">
        <v>23</v>
      </c>
      <c r="B15" s="5">
        <v>5166</v>
      </c>
      <c r="C15" s="5">
        <v>3667</v>
      </c>
      <c r="D15" s="5">
        <v>1875</v>
      </c>
      <c r="E15" s="5">
        <f t="shared" si="0"/>
        <v>1499</v>
      </c>
      <c r="F15" s="15">
        <f t="shared" si="1"/>
        <v>0.290166473093302</v>
      </c>
      <c r="G15" s="5">
        <f t="shared" si="2"/>
        <v>1792</v>
      </c>
      <c r="H15" s="15">
        <f t="shared" si="3"/>
        <v>0.346883468834688</v>
      </c>
      <c r="I15" s="5">
        <f t="shared" si="4"/>
        <v>3291</v>
      </c>
      <c r="J15" s="15">
        <f t="shared" si="5"/>
        <v>0.637049941927991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spans="1:22">
      <c r="A16" s="4" t="s">
        <v>24</v>
      </c>
      <c r="B16" s="5">
        <v>3394</v>
      </c>
      <c r="C16" s="5">
        <v>2988</v>
      </c>
      <c r="D16" s="5">
        <v>1559</v>
      </c>
      <c r="E16" s="5">
        <f t="shared" si="0"/>
        <v>406</v>
      </c>
      <c r="F16" s="15">
        <f t="shared" si="1"/>
        <v>0.119622863877431</v>
      </c>
      <c r="G16" s="5">
        <f t="shared" si="2"/>
        <v>1429</v>
      </c>
      <c r="H16" s="15">
        <f t="shared" si="3"/>
        <v>0.421037124337065</v>
      </c>
      <c r="I16" s="5">
        <f t="shared" si="4"/>
        <v>1835</v>
      </c>
      <c r="J16" s="15">
        <f t="shared" si="5"/>
        <v>0.540659988214496</v>
      </c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spans="1:22">
      <c r="A17" s="4" t="s">
        <v>25</v>
      </c>
      <c r="B17" s="5">
        <v>2751</v>
      </c>
      <c r="C17" s="5">
        <v>2452</v>
      </c>
      <c r="D17" s="5">
        <v>1221</v>
      </c>
      <c r="E17" s="5">
        <f t="shared" si="0"/>
        <v>299</v>
      </c>
      <c r="F17" s="15">
        <f t="shared" si="1"/>
        <v>0.108687749909124</v>
      </c>
      <c r="G17" s="5">
        <f t="shared" si="2"/>
        <v>1231</v>
      </c>
      <c r="H17" s="15">
        <f t="shared" si="3"/>
        <v>0.447473645946928</v>
      </c>
      <c r="I17" s="5">
        <f t="shared" si="4"/>
        <v>1530</v>
      </c>
      <c r="J17" s="15">
        <f t="shared" si="5"/>
        <v>0.556161395856052</v>
      </c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spans="1:22">
      <c r="A18" s="4" t="s">
        <v>26</v>
      </c>
      <c r="B18" s="5">
        <v>868</v>
      </c>
      <c r="C18" s="5">
        <v>855</v>
      </c>
      <c r="D18" s="5">
        <v>572</v>
      </c>
      <c r="E18" s="5">
        <f t="shared" si="0"/>
        <v>13</v>
      </c>
      <c r="F18" s="15">
        <f t="shared" si="1"/>
        <v>0.0149769585253456</v>
      </c>
      <c r="G18" s="5">
        <f t="shared" si="2"/>
        <v>283</v>
      </c>
      <c r="H18" s="15">
        <f t="shared" si="3"/>
        <v>0.326036866359447</v>
      </c>
      <c r="I18" s="5">
        <f t="shared" si="4"/>
        <v>296</v>
      </c>
      <c r="J18" s="15">
        <f t="shared" si="5"/>
        <v>0.341013824884793</v>
      </c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spans="1:22">
      <c r="A19" s="4" t="s">
        <v>27</v>
      </c>
      <c r="B19" s="5">
        <v>1467</v>
      </c>
      <c r="C19" s="5">
        <v>1432</v>
      </c>
      <c r="D19" s="5">
        <v>919</v>
      </c>
      <c r="E19" s="5">
        <f t="shared" si="0"/>
        <v>35</v>
      </c>
      <c r="F19" s="15">
        <f t="shared" si="1"/>
        <v>0.0238582140422631</v>
      </c>
      <c r="G19" s="5">
        <f t="shared" si="2"/>
        <v>513</v>
      </c>
      <c r="H19" s="15">
        <f t="shared" si="3"/>
        <v>0.349693251533742</v>
      </c>
      <c r="I19" s="5">
        <f t="shared" si="4"/>
        <v>548</v>
      </c>
      <c r="J19" s="15">
        <f t="shared" si="5"/>
        <v>0.373551465576005</v>
      </c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spans="1:22">
      <c r="A20" s="4" t="s">
        <v>28</v>
      </c>
      <c r="B20" s="5">
        <v>2418</v>
      </c>
      <c r="C20" s="5">
        <v>2269</v>
      </c>
      <c r="D20" s="5">
        <v>1221</v>
      </c>
      <c r="E20" s="5">
        <f t="shared" si="0"/>
        <v>149</v>
      </c>
      <c r="F20" s="15">
        <f t="shared" si="1"/>
        <v>0.0616211745244003</v>
      </c>
      <c r="G20" s="5">
        <f t="shared" si="2"/>
        <v>1048</v>
      </c>
      <c r="H20" s="15">
        <f t="shared" si="3"/>
        <v>0.433416046319272</v>
      </c>
      <c r="I20" s="5">
        <f t="shared" si="4"/>
        <v>1197</v>
      </c>
      <c r="J20" s="15">
        <f t="shared" si="5"/>
        <v>0.495037220843672</v>
      </c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spans="1:22">
      <c r="A21" s="4" t="s">
        <v>29</v>
      </c>
      <c r="B21" s="5">
        <v>3534</v>
      </c>
      <c r="C21" s="5">
        <v>3111</v>
      </c>
      <c r="D21" s="5">
        <v>1591</v>
      </c>
      <c r="E21" s="5">
        <f t="shared" si="0"/>
        <v>423</v>
      </c>
      <c r="F21" s="15">
        <f t="shared" si="1"/>
        <v>0.119694397283531</v>
      </c>
      <c r="G21" s="5">
        <f t="shared" si="2"/>
        <v>1520</v>
      </c>
      <c r="H21" s="15">
        <f t="shared" si="3"/>
        <v>0.43010752688172</v>
      </c>
      <c r="I21" s="5">
        <f t="shared" si="4"/>
        <v>1943</v>
      </c>
      <c r="J21" s="15">
        <f t="shared" si="5"/>
        <v>0.549801924165252</v>
      </c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spans="1:22">
      <c r="A22" s="4" t="s">
        <v>30</v>
      </c>
      <c r="B22" s="5">
        <v>6923</v>
      </c>
      <c r="C22" s="5">
        <v>4488</v>
      </c>
      <c r="D22" s="5">
        <v>2239</v>
      </c>
      <c r="E22" s="5">
        <f t="shared" si="0"/>
        <v>2435</v>
      </c>
      <c r="F22" s="15">
        <f t="shared" si="1"/>
        <v>0.351726130290337</v>
      </c>
      <c r="G22" s="5">
        <f t="shared" si="2"/>
        <v>2249</v>
      </c>
      <c r="H22" s="15">
        <f t="shared" si="3"/>
        <v>0.324859165101834</v>
      </c>
      <c r="I22" s="5">
        <f t="shared" si="4"/>
        <v>4684</v>
      </c>
      <c r="J22" s="15">
        <f t="shared" si="5"/>
        <v>0.676585295392171</v>
      </c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spans="1:22">
      <c r="A23" s="4" t="s">
        <v>31</v>
      </c>
      <c r="B23" s="5">
        <v>3458</v>
      </c>
      <c r="C23" s="5">
        <v>3424</v>
      </c>
      <c r="D23" s="5">
        <v>1488</v>
      </c>
      <c r="E23" s="5" t="s">
        <v>32</v>
      </c>
      <c r="F23" s="15" t="e">
        <f t="shared" si="1"/>
        <v>#VALUE!</v>
      </c>
      <c r="G23" s="5">
        <f t="shared" si="2"/>
        <v>1936</v>
      </c>
      <c r="H23" s="15">
        <f t="shared" si="3"/>
        <v>0.559861191440139</v>
      </c>
      <c r="I23" s="5">
        <f t="shared" si="4"/>
        <v>1970</v>
      </c>
      <c r="J23" s="15">
        <f t="shared" si="5"/>
        <v>0.569693464430307</v>
      </c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spans="1:22">
      <c r="A24" s="4" t="s">
        <v>33</v>
      </c>
      <c r="B24" s="5">
        <v>1231</v>
      </c>
      <c r="C24" s="5">
        <v>1220</v>
      </c>
      <c r="D24" s="5">
        <v>537</v>
      </c>
      <c r="E24" s="5">
        <f t="shared" ref="E24:E41" si="6">B24-C24</f>
        <v>11</v>
      </c>
      <c r="F24" s="15">
        <f t="shared" si="1"/>
        <v>0.00893582453290008</v>
      </c>
      <c r="G24" s="5">
        <f t="shared" si="2"/>
        <v>683</v>
      </c>
      <c r="H24" s="15">
        <f t="shared" si="3"/>
        <v>0.554833468724614</v>
      </c>
      <c r="I24" s="5">
        <f t="shared" si="4"/>
        <v>694</v>
      </c>
      <c r="J24" s="15">
        <f t="shared" si="5"/>
        <v>0.563769293257514</v>
      </c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spans="1:22">
      <c r="A25" s="4" t="s">
        <v>34</v>
      </c>
      <c r="B25" s="5">
        <v>3980</v>
      </c>
      <c r="C25" s="5">
        <v>3062</v>
      </c>
      <c r="D25" s="5">
        <v>1593</v>
      </c>
      <c r="E25" s="5">
        <f t="shared" si="6"/>
        <v>918</v>
      </c>
      <c r="F25" s="15">
        <f t="shared" si="1"/>
        <v>0.230653266331658</v>
      </c>
      <c r="G25" s="5">
        <f t="shared" si="2"/>
        <v>1469</v>
      </c>
      <c r="H25" s="15">
        <f t="shared" si="3"/>
        <v>0.369095477386935</v>
      </c>
      <c r="I25" s="5">
        <f t="shared" si="4"/>
        <v>2387</v>
      </c>
      <c r="J25" s="15">
        <f t="shared" si="5"/>
        <v>0.599748743718593</v>
      </c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spans="1:22">
      <c r="A26" s="4" t="s">
        <v>35</v>
      </c>
      <c r="B26" s="5">
        <v>4018</v>
      </c>
      <c r="C26" s="5">
        <v>3687</v>
      </c>
      <c r="D26" s="5">
        <v>1909</v>
      </c>
      <c r="E26" s="5">
        <f t="shared" si="6"/>
        <v>331</v>
      </c>
      <c r="F26" s="15">
        <f t="shared" si="1"/>
        <v>0.0823792931806869</v>
      </c>
      <c r="G26" s="5">
        <f t="shared" si="2"/>
        <v>1778</v>
      </c>
      <c r="H26" s="15">
        <f t="shared" si="3"/>
        <v>0.442508710801394</v>
      </c>
      <c r="I26" s="5">
        <f t="shared" si="4"/>
        <v>2109</v>
      </c>
      <c r="J26" s="15">
        <f t="shared" si="5"/>
        <v>0.524888003982081</v>
      </c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spans="1:22">
      <c r="A27" s="4" t="s">
        <v>36</v>
      </c>
      <c r="B27" s="5">
        <v>6872</v>
      </c>
      <c r="C27" s="5">
        <v>6259</v>
      </c>
      <c r="D27" s="5">
        <v>3074</v>
      </c>
      <c r="E27" s="5">
        <f t="shared" si="6"/>
        <v>613</v>
      </c>
      <c r="F27" s="15">
        <f t="shared" si="1"/>
        <v>0.0892025611175786</v>
      </c>
      <c r="G27" s="5">
        <f t="shared" si="2"/>
        <v>3185</v>
      </c>
      <c r="H27" s="15">
        <f t="shared" si="3"/>
        <v>0.463474970896391</v>
      </c>
      <c r="I27" s="5">
        <f t="shared" si="4"/>
        <v>3798</v>
      </c>
      <c r="J27" s="15">
        <f t="shared" si="5"/>
        <v>0.55267753201397</v>
      </c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spans="1:22">
      <c r="A28" s="4" t="s">
        <v>37</v>
      </c>
      <c r="B28" s="5">
        <v>6902</v>
      </c>
      <c r="C28" s="5">
        <v>5647</v>
      </c>
      <c r="D28" s="5">
        <v>2566</v>
      </c>
      <c r="E28" s="5">
        <f t="shared" si="6"/>
        <v>1255</v>
      </c>
      <c r="F28" s="15">
        <f t="shared" si="1"/>
        <v>0.181831353230948</v>
      </c>
      <c r="G28" s="5">
        <f t="shared" si="2"/>
        <v>3081</v>
      </c>
      <c r="H28" s="15">
        <f t="shared" si="3"/>
        <v>0.446392350043466</v>
      </c>
      <c r="I28" s="5">
        <f t="shared" si="4"/>
        <v>4336</v>
      </c>
      <c r="J28" s="15">
        <f t="shared" si="5"/>
        <v>0.628223703274413</v>
      </c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spans="1:22">
      <c r="A29" s="4" t="s">
        <v>38</v>
      </c>
      <c r="B29" s="5">
        <v>4124</v>
      </c>
      <c r="C29" s="5">
        <v>3423</v>
      </c>
      <c r="D29" s="5">
        <v>1732</v>
      </c>
      <c r="E29" s="5">
        <f t="shared" si="6"/>
        <v>701</v>
      </c>
      <c r="F29" s="15">
        <f t="shared" si="1"/>
        <v>0.169980601357905</v>
      </c>
      <c r="G29" s="5">
        <f t="shared" si="2"/>
        <v>1691</v>
      </c>
      <c r="H29" s="15">
        <f t="shared" si="3"/>
        <v>0.41003879728419</v>
      </c>
      <c r="I29" s="5">
        <f t="shared" si="4"/>
        <v>2392</v>
      </c>
      <c r="J29" s="15">
        <f t="shared" si="5"/>
        <v>0.580019398642095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spans="1:22">
      <c r="A30" s="4" t="s">
        <v>39</v>
      </c>
      <c r="B30" s="5">
        <v>1188</v>
      </c>
      <c r="C30" s="5">
        <v>903</v>
      </c>
      <c r="D30" s="5">
        <v>616</v>
      </c>
      <c r="E30" s="5">
        <f t="shared" si="6"/>
        <v>285</v>
      </c>
      <c r="F30" s="15">
        <f t="shared" si="1"/>
        <v>0.23989898989899</v>
      </c>
      <c r="G30" s="5">
        <f t="shared" si="2"/>
        <v>287</v>
      </c>
      <c r="H30" s="15">
        <f t="shared" si="3"/>
        <v>0.241582491582492</v>
      </c>
      <c r="I30" s="5">
        <f t="shared" si="4"/>
        <v>572</v>
      </c>
      <c r="J30" s="15">
        <f t="shared" si="5"/>
        <v>0.481481481481481</v>
      </c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spans="1:22">
      <c r="A31" s="4" t="s">
        <v>40</v>
      </c>
      <c r="B31" s="5">
        <v>5067</v>
      </c>
      <c r="C31" s="5">
        <v>4571</v>
      </c>
      <c r="D31" s="5">
        <v>2333</v>
      </c>
      <c r="E31" s="5">
        <f t="shared" si="6"/>
        <v>496</v>
      </c>
      <c r="F31" s="15">
        <f t="shared" si="1"/>
        <v>0.0978882968225775</v>
      </c>
      <c r="G31" s="5">
        <f t="shared" si="2"/>
        <v>2238</v>
      </c>
      <c r="H31" s="15">
        <f t="shared" si="3"/>
        <v>0.441681468324452</v>
      </c>
      <c r="I31" s="5">
        <f t="shared" si="4"/>
        <v>2734</v>
      </c>
      <c r="J31" s="15">
        <f t="shared" si="5"/>
        <v>0.53956976514703</v>
      </c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spans="1:22">
      <c r="A32" s="4" t="s">
        <v>41</v>
      </c>
      <c r="B32" s="5">
        <v>7574</v>
      </c>
      <c r="C32" s="5">
        <v>4453</v>
      </c>
      <c r="D32" s="5">
        <v>2273</v>
      </c>
      <c r="E32" s="5">
        <f t="shared" si="6"/>
        <v>3121</v>
      </c>
      <c r="F32" s="15">
        <f t="shared" si="1"/>
        <v>0.412067599683127</v>
      </c>
      <c r="G32" s="5">
        <f t="shared" si="2"/>
        <v>2180</v>
      </c>
      <c r="H32" s="15">
        <f t="shared" si="3"/>
        <v>0.287826775811988</v>
      </c>
      <c r="I32" s="5">
        <f t="shared" si="4"/>
        <v>5301</v>
      </c>
      <c r="J32" s="15">
        <f t="shared" si="5"/>
        <v>0.699894375495115</v>
      </c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spans="1:22">
      <c r="A33" s="4" t="s">
        <v>42</v>
      </c>
      <c r="B33" s="5">
        <v>6882</v>
      </c>
      <c r="C33" s="5">
        <v>6876</v>
      </c>
      <c r="D33" s="5">
        <v>4196</v>
      </c>
      <c r="E33" s="5">
        <f t="shared" si="6"/>
        <v>6</v>
      </c>
      <c r="F33" s="15">
        <f t="shared" si="1"/>
        <v>0.000871839581517001</v>
      </c>
      <c r="G33" s="5">
        <f t="shared" si="2"/>
        <v>2680</v>
      </c>
      <c r="H33" s="15">
        <f t="shared" si="3"/>
        <v>0.38942167974426</v>
      </c>
      <c r="I33" s="5">
        <f t="shared" si="4"/>
        <v>2686</v>
      </c>
      <c r="J33" s="15">
        <f t="shared" si="5"/>
        <v>0.390293519325777</v>
      </c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spans="1:22">
      <c r="A34" s="4" t="s">
        <v>43</v>
      </c>
      <c r="B34" s="5">
        <v>6670</v>
      </c>
      <c r="C34" s="5">
        <v>6664</v>
      </c>
      <c r="D34" s="5">
        <v>3984</v>
      </c>
      <c r="E34" s="5">
        <f t="shared" si="6"/>
        <v>6</v>
      </c>
      <c r="F34" s="15">
        <f t="shared" si="1"/>
        <v>0.000899550224887556</v>
      </c>
      <c r="G34" s="5">
        <f t="shared" si="2"/>
        <v>2680</v>
      </c>
      <c r="H34" s="15">
        <f t="shared" si="3"/>
        <v>0.401799100449775</v>
      </c>
      <c r="I34" s="5">
        <f t="shared" si="4"/>
        <v>2686</v>
      </c>
      <c r="J34" s="15">
        <f t="shared" si="5"/>
        <v>0.402698650674663</v>
      </c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spans="1:22">
      <c r="A35" s="4" t="s">
        <v>44</v>
      </c>
      <c r="B35" s="5">
        <v>6670</v>
      </c>
      <c r="C35" s="5">
        <v>6664</v>
      </c>
      <c r="D35" s="5">
        <v>3984</v>
      </c>
      <c r="E35" s="5">
        <f t="shared" si="6"/>
        <v>6</v>
      </c>
      <c r="F35" s="15">
        <f t="shared" si="1"/>
        <v>0.000899550224887556</v>
      </c>
      <c r="G35" s="5">
        <f t="shared" si="2"/>
        <v>2680</v>
      </c>
      <c r="H35" s="15">
        <f t="shared" si="3"/>
        <v>0.401799100449775</v>
      </c>
      <c r="I35" s="5">
        <f t="shared" si="4"/>
        <v>2686</v>
      </c>
      <c r="J35" s="15">
        <f t="shared" si="5"/>
        <v>0.402698650674663</v>
      </c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spans="1:22">
      <c r="A36" s="4" t="s">
        <v>45</v>
      </c>
      <c r="B36" s="5">
        <v>6728</v>
      </c>
      <c r="C36" s="5">
        <v>6722</v>
      </c>
      <c r="D36" s="5">
        <v>4042</v>
      </c>
      <c r="E36" s="5">
        <f t="shared" si="6"/>
        <v>6</v>
      </c>
      <c r="F36" s="15">
        <f t="shared" si="1"/>
        <v>0.00089179548156956</v>
      </c>
      <c r="G36" s="5">
        <f t="shared" si="2"/>
        <v>2680</v>
      </c>
      <c r="H36" s="15">
        <f t="shared" si="3"/>
        <v>0.39833531510107</v>
      </c>
      <c r="I36" s="5">
        <f t="shared" si="4"/>
        <v>2686</v>
      </c>
      <c r="J36" s="15">
        <f t="shared" si="5"/>
        <v>0.39922711058264</v>
      </c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spans="1:22">
      <c r="A37" s="4" t="s">
        <v>46</v>
      </c>
      <c r="B37" s="5">
        <v>6629</v>
      </c>
      <c r="C37" s="5">
        <v>6623</v>
      </c>
      <c r="D37" s="5">
        <v>3943</v>
      </c>
      <c r="E37" s="5">
        <f t="shared" si="6"/>
        <v>6</v>
      </c>
      <c r="F37" s="15">
        <f t="shared" si="1"/>
        <v>0.000905113893498265</v>
      </c>
      <c r="G37" s="5">
        <f t="shared" si="2"/>
        <v>2680</v>
      </c>
      <c r="H37" s="15">
        <f t="shared" si="3"/>
        <v>0.404284205762558</v>
      </c>
      <c r="I37" s="5">
        <f t="shared" si="4"/>
        <v>2686</v>
      </c>
      <c r="J37" s="15">
        <f t="shared" si="5"/>
        <v>0.405189319656057</v>
      </c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spans="1:22">
      <c r="A38" s="4" t="s">
        <v>47</v>
      </c>
      <c r="B38" s="5">
        <v>6742</v>
      </c>
      <c r="C38" s="5">
        <v>6736</v>
      </c>
      <c r="D38" s="5">
        <v>4056</v>
      </c>
      <c r="E38" s="5">
        <f t="shared" si="6"/>
        <v>6</v>
      </c>
      <c r="F38" s="15">
        <f t="shared" si="1"/>
        <v>0.000889943636902996</v>
      </c>
      <c r="G38" s="5">
        <f t="shared" si="2"/>
        <v>2680</v>
      </c>
      <c r="H38" s="15">
        <f t="shared" si="3"/>
        <v>0.397508157816672</v>
      </c>
      <c r="I38" s="5">
        <f t="shared" si="4"/>
        <v>2686</v>
      </c>
      <c r="J38" s="15">
        <f t="shared" si="5"/>
        <v>0.398398101453575</v>
      </c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spans="1:22">
      <c r="A39" s="4" t="s">
        <v>48</v>
      </c>
      <c r="B39" s="5">
        <v>6701</v>
      </c>
      <c r="C39" s="5">
        <v>6695</v>
      </c>
      <c r="D39" s="5">
        <v>4015</v>
      </c>
      <c r="E39" s="5">
        <f t="shared" si="6"/>
        <v>6</v>
      </c>
      <c r="F39" s="15">
        <f t="shared" si="1"/>
        <v>0.000895388747948067</v>
      </c>
      <c r="G39" s="5">
        <f t="shared" si="2"/>
        <v>2680</v>
      </c>
      <c r="H39" s="15">
        <f t="shared" si="3"/>
        <v>0.399940307416803</v>
      </c>
      <c r="I39" s="5">
        <f t="shared" si="4"/>
        <v>2686</v>
      </c>
      <c r="J39" s="15">
        <f t="shared" si="5"/>
        <v>0.400835696164752</v>
      </c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spans="1:22">
      <c r="A40" s="4" t="s">
        <v>49</v>
      </c>
      <c r="B40" s="5">
        <v>6739</v>
      </c>
      <c r="C40" s="5">
        <v>6733</v>
      </c>
      <c r="D40" s="5">
        <v>4053</v>
      </c>
      <c r="E40" s="5">
        <f t="shared" si="6"/>
        <v>6</v>
      </c>
      <c r="F40" s="15">
        <f t="shared" si="1"/>
        <v>0.000890339813028639</v>
      </c>
      <c r="G40" s="5">
        <f t="shared" si="2"/>
        <v>2680</v>
      </c>
      <c r="H40" s="15">
        <f t="shared" si="3"/>
        <v>0.397685116486126</v>
      </c>
      <c r="I40" s="5">
        <f t="shared" si="4"/>
        <v>2686</v>
      </c>
      <c r="J40" s="15">
        <f t="shared" si="5"/>
        <v>0.398575456299154</v>
      </c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spans="1:22">
      <c r="A41" s="4" t="s">
        <v>50</v>
      </c>
      <c r="B41" s="5">
        <v>6854</v>
      </c>
      <c r="C41" s="5">
        <v>6848</v>
      </c>
      <c r="D41" s="5">
        <v>4168</v>
      </c>
      <c r="E41" s="5">
        <f t="shared" si="6"/>
        <v>6</v>
      </c>
      <c r="F41" s="15">
        <f t="shared" si="1"/>
        <v>0.000875401225561716</v>
      </c>
      <c r="G41" s="5">
        <f t="shared" si="2"/>
        <v>2680</v>
      </c>
      <c r="H41" s="15">
        <f t="shared" si="3"/>
        <v>0.391012547417566</v>
      </c>
      <c r="I41" s="5">
        <f t="shared" si="4"/>
        <v>2686</v>
      </c>
      <c r="J41" s="15">
        <f t="shared" si="5"/>
        <v>0.391887948643128</v>
      </c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spans="1:22">
      <c r="A42" s="7"/>
      <c r="B42" s="7"/>
      <c r="C42" s="7"/>
      <c r="D42" s="7"/>
      <c r="E42" s="7"/>
      <c r="F42" s="7"/>
      <c r="G42" s="7"/>
      <c r="H42" s="7"/>
      <c r="I42" s="7"/>
      <c r="J42" s="7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ht="17.55" spans="1:22">
      <c r="A43" s="2" t="s">
        <v>0</v>
      </c>
      <c r="B43" s="9" t="s">
        <v>1</v>
      </c>
      <c r="C43" s="9" t="s">
        <v>2</v>
      </c>
      <c r="D43" s="2" t="s">
        <v>3</v>
      </c>
      <c r="E43" s="2" t="s">
        <v>4</v>
      </c>
      <c r="F43" s="2" t="s">
        <v>5</v>
      </c>
      <c r="G43" s="2" t="s">
        <v>6</v>
      </c>
      <c r="H43" s="2" t="s">
        <v>7</v>
      </c>
      <c r="I43" s="2" t="s">
        <v>8</v>
      </c>
      <c r="J43" s="2" t="s">
        <v>9</v>
      </c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>
      <c r="A44" s="10" t="s">
        <v>51</v>
      </c>
      <c r="B44" s="11">
        <f>SUM(B2:B41)</f>
        <v>197576</v>
      </c>
      <c r="C44" s="11">
        <f>SUM(C2:C41)</f>
        <v>174162</v>
      </c>
      <c r="D44" s="11">
        <f>SUM(D2:D41)</f>
        <v>92661</v>
      </c>
      <c r="E44" s="11">
        <f>B44-C44</f>
        <v>23414</v>
      </c>
      <c r="F44" s="18">
        <f>E44/B44</f>
        <v>0.118506296311293</v>
      </c>
      <c r="G44" s="11">
        <f>C44-D44</f>
        <v>81501</v>
      </c>
      <c r="H44" s="18">
        <f>G44/C44</f>
        <v>0.467960864023151</v>
      </c>
      <c r="I44" s="11">
        <f>B44-D44</f>
        <v>104915</v>
      </c>
      <c r="J44" s="18">
        <f>I44/B44</f>
        <v>0.531010851520428</v>
      </c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>
      <c r="A45" s="10" t="s">
        <v>52</v>
      </c>
      <c r="B45" s="12">
        <f>ROUNDUP(B44/1024,0)</f>
        <v>193</v>
      </c>
      <c r="C45" s="12">
        <f t="shared" ref="C45:J45" si="7">ROUNDUP(C44/1024,0)</f>
        <v>171</v>
      </c>
      <c r="D45" s="12">
        <f t="shared" si="7"/>
        <v>91</v>
      </c>
      <c r="E45" s="12">
        <f t="shared" si="7"/>
        <v>23</v>
      </c>
      <c r="F45" s="18"/>
      <c r="G45" s="12">
        <f t="shared" si="7"/>
        <v>80</v>
      </c>
      <c r="H45" s="18"/>
      <c r="I45" s="12">
        <f t="shared" si="7"/>
        <v>103</v>
      </c>
      <c r="J45" s="18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spans="1:2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spans="1:22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spans="1:22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spans="1:22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spans="1:22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spans="1:22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spans="1:22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spans="1:22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spans="1:22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spans="1:2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spans="1:2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</sheetData>
  <mergeCells count="4">
    <mergeCell ref="F44:F45"/>
    <mergeCell ref="H44:H45"/>
    <mergeCell ref="J44:J45"/>
    <mergeCell ref="K1:V41"/>
  </mergeCell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3"/>
  <sheetViews>
    <sheetView workbookViewId="0">
      <selection activeCell="D36" sqref="D36"/>
    </sheetView>
  </sheetViews>
  <sheetFormatPr defaultColWidth="9" defaultRowHeight="16.8"/>
  <cols>
    <col min="1" max="1" width="52.2109375" customWidth="1"/>
    <col min="2" max="2" width="12.359375" customWidth="1"/>
    <col min="3" max="3" width="15.625" customWidth="1"/>
    <col min="4" max="4" width="13.9296875" customWidth="1"/>
    <col min="5" max="5" width="16.6640625" customWidth="1"/>
    <col min="6" max="6" width="25" customWidth="1"/>
    <col min="7" max="7" width="26.953125" customWidth="1"/>
    <col min="8" max="8" width="22.5234375" customWidth="1"/>
    <col min="9" max="9" width="24.078125" customWidth="1"/>
    <col min="10" max="10" width="22.78125" customWidth="1"/>
    <col min="11" max="11" width="24.34375" customWidth="1"/>
    <col min="12" max="12" width="16.265625" customWidth="1"/>
    <col min="13" max="13" width="22.125" customWidth="1"/>
  </cols>
  <sheetData>
    <row r="1" s="1" customFormat="1" spans="1:25">
      <c r="A1" s="2" t="s">
        <v>0</v>
      </c>
      <c r="B1" s="3" t="s">
        <v>1</v>
      </c>
      <c r="C1" s="3" t="s">
        <v>2</v>
      </c>
      <c r="D1" s="2" t="s">
        <v>3</v>
      </c>
      <c r="E1" s="2" t="s">
        <v>53</v>
      </c>
      <c r="F1" s="2" t="s">
        <v>54</v>
      </c>
      <c r="G1" s="2" t="s">
        <v>55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25">
      <c r="A2" s="4" t="s">
        <v>17</v>
      </c>
      <c r="B2" s="5">
        <v>6043</v>
      </c>
      <c r="C2" s="5">
        <v>2919</v>
      </c>
      <c r="D2" s="5">
        <v>1757</v>
      </c>
      <c r="E2" s="5">
        <v>2629</v>
      </c>
      <c r="F2" s="14">
        <f t="shared" ref="F2:F33" si="0">E2-D2</f>
        <v>872</v>
      </c>
      <c r="G2" s="15">
        <f t="shared" ref="G2:G33" si="1">F2/E2</f>
        <v>0.331685051350323</v>
      </c>
      <c r="H2" s="5">
        <f t="shared" ref="H2:H33" si="2">B2-C2</f>
        <v>3124</v>
      </c>
      <c r="I2" s="15">
        <f t="shared" ref="I2:I33" si="3">H2/B2</f>
        <v>0.516961773953334</v>
      </c>
      <c r="J2" s="5">
        <f t="shared" ref="J2:J33" si="4">C2-D2</f>
        <v>1162</v>
      </c>
      <c r="K2" s="15">
        <f t="shared" ref="K2:K33" si="5">J2/B2</f>
        <v>0.192288598378289</v>
      </c>
      <c r="L2" s="5">
        <f t="shared" ref="L2:L33" si="6">B2-D2</f>
        <v>4286</v>
      </c>
      <c r="M2" s="15">
        <f t="shared" ref="M2:M33" si="7">L2/B2</f>
        <v>0.709250372331623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>
      <c r="A3" s="4" t="s">
        <v>37</v>
      </c>
      <c r="B3" s="5">
        <v>5647</v>
      </c>
      <c r="C3" s="5">
        <v>2839</v>
      </c>
      <c r="D3" s="5">
        <v>1742</v>
      </c>
      <c r="E3" s="5">
        <v>2566</v>
      </c>
      <c r="F3" s="14">
        <f t="shared" si="0"/>
        <v>824</v>
      </c>
      <c r="G3" s="15">
        <f t="shared" si="1"/>
        <v>0.321122369446609</v>
      </c>
      <c r="H3" s="5">
        <f t="shared" si="2"/>
        <v>2808</v>
      </c>
      <c r="I3" s="15">
        <f t="shared" si="3"/>
        <v>0.497255179741456</v>
      </c>
      <c r="J3" s="5">
        <f t="shared" si="4"/>
        <v>1097</v>
      </c>
      <c r="K3" s="15">
        <f t="shared" si="5"/>
        <v>0.194262440233752</v>
      </c>
      <c r="L3" s="5">
        <f t="shared" si="6"/>
        <v>3905</v>
      </c>
      <c r="M3" s="15">
        <f t="shared" si="7"/>
        <v>0.691517619975208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>
      <c r="A4" s="4" t="s">
        <v>22</v>
      </c>
      <c r="B4" s="5">
        <v>5947</v>
      </c>
      <c r="C4" s="5">
        <v>3066</v>
      </c>
      <c r="D4" s="5">
        <v>1978</v>
      </c>
      <c r="E4" s="5">
        <v>2820</v>
      </c>
      <c r="F4" s="14">
        <f t="shared" si="0"/>
        <v>842</v>
      </c>
      <c r="G4" s="15">
        <f t="shared" si="1"/>
        <v>0.298581560283688</v>
      </c>
      <c r="H4" s="5">
        <f t="shared" si="2"/>
        <v>2881</v>
      </c>
      <c r="I4" s="15">
        <f t="shared" si="3"/>
        <v>0.484445939128973</v>
      </c>
      <c r="J4" s="5">
        <f t="shared" si="4"/>
        <v>1088</v>
      </c>
      <c r="K4" s="15">
        <f t="shared" si="5"/>
        <v>0.182949386245166</v>
      </c>
      <c r="L4" s="5">
        <f t="shared" si="6"/>
        <v>3969</v>
      </c>
      <c r="M4" s="15">
        <f t="shared" si="7"/>
        <v>0.667395325374138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>
      <c r="A5" s="4" t="s">
        <v>18</v>
      </c>
      <c r="B5" s="5">
        <v>5270</v>
      </c>
      <c r="C5" s="5">
        <v>2833</v>
      </c>
      <c r="D5" s="5">
        <v>1736</v>
      </c>
      <c r="E5" s="5">
        <v>2446</v>
      </c>
      <c r="F5" s="14">
        <f t="shared" si="0"/>
        <v>710</v>
      </c>
      <c r="G5" s="15">
        <f t="shared" si="1"/>
        <v>0.290269828291087</v>
      </c>
      <c r="H5" s="5">
        <f t="shared" si="2"/>
        <v>2437</v>
      </c>
      <c r="I5" s="15">
        <f t="shared" si="3"/>
        <v>0.462428842504744</v>
      </c>
      <c r="J5" s="5">
        <f t="shared" si="4"/>
        <v>1097</v>
      </c>
      <c r="K5" s="15">
        <f t="shared" si="5"/>
        <v>0.208159392789374</v>
      </c>
      <c r="L5" s="5">
        <f t="shared" si="6"/>
        <v>3534</v>
      </c>
      <c r="M5" s="15">
        <f t="shared" si="7"/>
        <v>0.670588235294118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>
      <c r="A6" s="4" t="s">
        <v>38</v>
      </c>
      <c r="B6" s="5">
        <v>3423</v>
      </c>
      <c r="C6" s="5">
        <v>1869</v>
      </c>
      <c r="D6" s="5">
        <v>1238</v>
      </c>
      <c r="E6" s="5">
        <v>1732</v>
      </c>
      <c r="F6" s="14">
        <f t="shared" si="0"/>
        <v>494</v>
      </c>
      <c r="G6" s="15">
        <f t="shared" si="1"/>
        <v>0.285219399538106</v>
      </c>
      <c r="H6" s="5">
        <f t="shared" si="2"/>
        <v>1554</v>
      </c>
      <c r="I6" s="15">
        <f t="shared" si="3"/>
        <v>0.45398773006135</v>
      </c>
      <c r="J6" s="5">
        <f t="shared" si="4"/>
        <v>631</v>
      </c>
      <c r="K6" s="15">
        <f t="shared" si="5"/>
        <v>0.184341221151037</v>
      </c>
      <c r="L6" s="5">
        <f t="shared" si="6"/>
        <v>2185</v>
      </c>
      <c r="M6" s="15">
        <f t="shared" si="7"/>
        <v>0.638328951212387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>
      <c r="A7" s="4" t="s">
        <v>15</v>
      </c>
      <c r="B7" s="5">
        <v>4261</v>
      </c>
      <c r="C7" s="5">
        <v>2368</v>
      </c>
      <c r="D7" s="8">
        <v>1519</v>
      </c>
      <c r="E7" s="5">
        <v>2095</v>
      </c>
      <c r="F7" s="14">
        <f t="shared" si="0"/>
        <v>576</v>
      </c>
      <c r="G7" s="15">
        <f t="shared" si="1"/>
        <v>0.274940334128878</v>
      </c>
      <c r="H7" s="5">
        <f t="shared" si="2"/>
        <v>1893</v>
      </c>
      <c r="I7" s="15">
        <f t="shared" si="3"/>
        <v>0.444261910349683</v>
      </c>
      <c r="J7" s="5">
        <f t="shared" si="4"/>
        <v>849</v>
      </c>
      <c r="K7" s="15">
        <f t="shared" si="5"/>
        <v>0.199249002581554</v>
      </c>
      <c r="L7" s="5">
        <f t="shared" si="6"/>
        <v>2742</v>
      </c>
      <c r="M7" s="15">
        <f t="shared" si="7"/>
        <v>0.643510912931237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>
      <c r="A8" s="4" t="s">
        <v>14</v>
      </c>
      <c r="B8" s="5">
        <v>7784</v>
      </c>
      <c r="C8" s="5">
        <v>5030</v>
      </c>
      <c r="D8" s="5">
        <v>2592</v>
      </c>
      <c r="E8" s="5">
        <v>3455</v>
      </c>
      <c r="F8" s="14">
        <f t="shared" si="0"/>
        <v>863</v>
      </c>
      <c r="G8" s="15">
        <f t="shared" si="1"/>
        <v>0.249782923299566</v>
      </c>
      <c r="H8" s="5">
        <f t="shared" si="2"/>
        <v>2754</v>
      </c>
      <c r="I8" s="15">
        <f t="shared" si="3"/>
        <v>0.353802672147996</v>
      </c>
      <c r="J8" s="5">
        <f t="shared" si="4"/>
        <v>2438</v>
      </c>
      <c r="K8" s="15">
        <f t="shared" si="5"/>
        <v>0.313206577595067</v>
      </c>
      <c r="L8" s="5">
        <f t="shared" si="6"/>
        <v>5192</v>
      </c>
      <c r="M8" s="15">
        <f t="shared" si="7"/>
        <v>0.667009249743063</v>
      </c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>
      <c r="A9" s="4" t="s">
        <v>11</v>
      </c>
      <c r="B9" s="5">
        <v>3681</v>
      </c>
      <c r="C9" s="5">
        <v>2252</v>
      </c>
      <c r="D9" s="5">
        <v>1471</v>
      </c>
      <c r="E9" s="5">
        <v>1905</v>
      </c>
      <c r="F9" s="14">
        <f t="shared" si="0"/>
        <v>434</v>
      </c>
      <c r="G9" s="15">
        <f t="shared" si="1"/>
        <v>0.227821522309711</v>
      </c>
      <c r="H9" s="5">
        <f t="shared" si="2"/>
        <v>1429</v>
      </c>
      <c r="I9" s="15">
        <f t="shared" si="3"/>
        <v>0.388209725618039</v>
      </c>
      <c r="J9" s="5">
        <f t="shared" si="4"/>
        <v>781</v>
      </c>
      <c r="K9" s="15">
        <f t="shared" si="5"/>
        <v>0.212170605813638</v>
      </c>
      <c r="L9" s="5">
        <f t="shared" si="6"/>
        <v>2210</v>
      </c>
      <c r="M9" s="15">
        <f t="shared" si="7"/>
        <v>0.600380331431676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>
      <c r="A10" s="4" t="s">
        <v>34</v>
      </c>
      <c r="B10" s="5">
        <v>3062</v>
      </c>
      <c r="C10" s="5">
        <v>1903</v>
      </c>
      <c r="D10" s="5">
        <v>1253</v>
      </c>
      <c r="E10" s="5">
        <v>1593</v>
      </c>
      <c r="F10" s="14">
        <f t="shared" si="0"/>
        <v>340</v>
      </c>
      <c r="G10" s="15">
        <f t="shared" si="1"/>
        <v>0.213433772755807</v>
      </c>
      <c r="H10" s="5">
        <f t="shared" si="2"/>
        <v>1159</v>
      </c>
      <c r="I10" s="15">
        <f t="shared" si="3"/>
        <v>0.378510777269758</v>
      </c>
      <c r="J10" s="5">
        <f t="shared" si="4"/>
        <v>650</v>
      </c>
      <c r="K10" s="15">
        <f t="shared" si="5"/>
        <v>0.212279555845852</v>
      </c>
      <c r="L10" s="5">
        <f t="shared" si="6"/>
        <v>1809</v>
      </c>
      <c r="M10" s="15">
        <f t="shared" si="7"/>
        <v>0.590790333115611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>
      <c r="A11" s="4" t="s">
        <v>23</v>
      </c>
      <c r="B11" s="5">
        <v>3667</v>
      </c>
      <c r="C11" s="5">
        <v>2291</v>
      </c>
      <c r="D11" s="5">
        <v>1479</v>
      </c>
      <c r="E11" s="5">
        <v>1875</v>
      </c>
      <c r="F11" s="14">
        <f t="shared" si="0"/>
        <v>396</v>
      </c>
      <c r="G11" s="15">
        <f t="shared" si="1"/>
        <v>0.2112</v>
      </c>
      <c r="H11" s="5">
        <f t="shared" si="2"/>
        <v>1376</v>
      </c>
      <c r="I11" s="15">
        <f t="shared" si="3"/>
        <v>0.375238614671394</v>
      </c>
      <c r="J11" s="5">
        <f t="shared" si="4"/>
        <v>812</v>
      </c>
      <c r="K11" s="15">
        <f t="shared" si="5"/>
        <v>0.221434415053177</v>
      </c>
      <c r="L11" s="5">
        <f t="shared" si="6"/>
        <v>2188</v>
      </c>
      <c r="M11" s="15">
        <f t="shared" si="7"/>
        <v>0.59667302972457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r="12" spans="1:25">
      <c r="A12" s="4" t="s">
        <v>36</v>
      </c>
      <c r="B12" s="5">
        <v>6259</v>
      </c>
      <c r="C12" s="5">
        <v>4223</v>
      </c>
      <c r="D12" s="5">
        <v>2429</v>
      </c>
      <c r="E12" s="5">
        <v>3074</v>
      </c>
      <c r="F12" s="14">
        <f t="shared" si="0"/>
        <v>645</v>
      </c>
      <c r="G12" s="15">
        <f t="shared" si="1"/>
        <v>0.209824333116461</v>
      </c>
      <c r="H12" s="5">
        <f t="shared" si="2"/>
        <v>2036</v>
      </c>
      <c r="I12" s="15">
        <f t="shared" si="3"/>
        <v>0.325291580124621</v>
      </c>
      <c r="J12" s="5">
        <f t="shared" si="4"/>
        <v>1794</v>
      </c>
      <c r="K12" s="15">
        <f t="shared" si="5"/>
        <v>0.28662725675028</v>
      </c>
      <c r="L12" s="5">
        <f t="shared" si="6"/>
        <v>3830</v>
      </c>
      <c r="M12" s="15">
        <f t="shared" si="7"/>
        <v>0.6119188368749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r="13" spans="1:25">
      <c r="A13" s="4" t="s">
        <v>24</v>
      </c>
      <c r="B13" s="5">
        <v>2988</v>
      </c>
      <c r="C13" s="5">
        <v>1861</v>
      </c>
      <c r="D13" s="5">
        <v>1235</v>
      </c>
      <c r="E13" s="5">
        <v>1559</v>
      </c>
      <c r="F13" s="14">
        <f t="shared" si="0"/>
        <v>324</v>
      </c>
      <c r="G13" s="15">
        <f t="shared" si="1"/>
        <v>0.207825529185375</v>
      </c>
      <c r="H13" s="5">
        <f t="shared" si="2"/>
        <v>1127</v>
      </c>
      <c r="I13" s="15">
        <f t="shared" si="3"/>
        <v>0.377175368139224</v>
      </c>
      <c r="J13" s="5">
        <f t="shared" si="4"/>
        <v>626</v>
      </c>
      <c r="K13" s="15">
        <f t="shared" si="5"/>
        <v>0.2095046854083</v>
      </c>
      <c r="L13" s="5">
        <f t="shared" si="6"/>
        <v>1753</v>
      </c>
      <c r="M13" s="15">
        <f t="shared" si="7"/>
        <v>0.586680053547523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r="14" spans="1:25">
      <c r="A14" s="4" t="s">
        <v>56</v>
      </c>
      <c r="B14" s="5">
        <v>3593</v>
      </c>
      <c r="C14" s="5">
        <v>2278</v>
      </c>
      <c r="D14" s="5">
        <v>1426</v>
      </c>
      <c r="E14" s="5">
        <v>1794</v>
      </c>
      <c r="F14" s="14">
        <f t="shared" si="0"/>
        <v>368</v>
      </c>
      <c r="G14" s="15">
        <f t="shared" si="1"/>
        <v>0.205128205128205</v>
      </c>
      <c r="H14" s="5">
        <f t="shared" si="2"/>
        <v>1315</v>
      </c>
      <c r="I14" s="15">
        <f t="shared" si="3"/>
        <v>0.365989423879766</v>
      </c>
      <c r="J14" s="5">
        <f t="shared" si="4"/>
        <v>852</v>
      </c>
      <c r="K14" s="15">
        <f t="shared" si="5"/>
        <v>0.237127748399666</v>
      </c>
      <c r="L14" s="5">
        <f t="shared" si="6"/>
        <v>2167</v>
      </c>
      <c r="M14" s="15">
        <f t="shared" si="7"/>
        <v>0.603117172279432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 spans="1:25">
      <c r="A15" s="4" t="s">
        <v>19</v>
      </c>
      <c r="B15" s="5">
        <v>5064</v>
      </c>
      <c r="C15" s="5">
        <v>3198</v>
      </c>
      <c r="D15" s="5">
        <v>2040</v>
      </c>
      <c r="E15" s="5">
        <v>2557</v>
      </c>
      <c r="F15" s="14">
        <f t="shared" si="0"/>
        <v>517</v>
      </c>
      <c r="G15" s="15">
        <f t="shared" si="1"/>
        <v>0.202190066484161</v>
      </c>
      <c r="H15" s="5">
        <f t="shared" si="2"/>
        <v>1866</v>
      </c>
      <c r="I15" s="15">
        <f t="shared" si="3"/>
        <v>0.368483412322275</v>
      </c>
      <c r="J15" s="5">
        <f t="shared" si="4"/>
        <v>1158</v>
      </c>
      <c r="K15" s="15">
        <f t="shared" si="5"/>
        <v>0.228672985781991</v>
      </c>
      <c r="L15" s="5">
        <f t="shared" si="6"/>
        <v>3024</v>
      </c>
      <c r="M15" s="15">
        <f t="shared" si="7"/>
        <v>0.597156398104265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 spans="1:25">
      <c r="A16" s="4" t="s">
        <v>30</v>
      </c>
      <c r="B16" s="5">
        <v>4488</v>
      </c>
      <c r="C16" s="5">
        <v>2858</v>
      </c>
      <c r="D16" s="5">
        <v>1787</v>
      </c>
      <c r="E16" s="5">
        <v>2239</v>
      </c>
      <c r="F16" s="14">
        <f t="shared" si="0"/>
        <v>452</v>
      </c>
      <c r="G16" s="15">
        <f t="shared" si="1"/>
        <v>0.201875837427423</v>
      </c>
      <c r="H16" s="5">
        <f t="shared" si="2"/>
        <v>1630</v>
      </c>
      <c r="I16" s="15">
        <f t="shared" si="3"/>
        <v>0.36319073083779</v>
      </c>
      <c r="J16" s="5">
        <f t="shared" si="4"/>
        <v>1071</v>
      </c>
      <c r="K16" s="15">
        <f t="shared" si="5"/>
        <v>0.238636363636364</v>
      </c>
      <c r="L16" s="5">
        <f t="shared" si="6"/>
        <v>2701</v>
      </c>
      <c r="M16" s="15">
        <f t="shared" si="7"/>
        <v>0.601827094474153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r="17" spans="1:25">
      <c r="A17" s="4" t="s">
        <v>29</v>
      </c>
      <c r="B17" s="5">
        <v>3111</v>
      </c>
      <c r="C17" s="5">
        <v>2024</v>
      </c>
      <c r="D17" s="5">
        <v>1297</v>
      </c>
      <c r="E17" s="5">
        <v>1591</v>
      </c>
      <c r="F17" s="14">
        <f t="shared" si="0"/>
        <v>294</v>
      </c>
      <c r="G17" s="15">
        <f t="shared" si="1"/>
        <v>0.184789440603394</v>
      </c>
      <c r="H17" s="5">
        <f t="shared" si="2"/>
        <v>1087</v>
      </c>
      <c r="I17" s="15">
        <f t="shared" si="3"/>
        <v>0.349405335904854</v>
      </c>
      <c r="J17" s="5">
        <f t="shared" si="4"/>
        <v>727</v>
      </c>
      <c r="K17" s="15">
        <f t="shared" si="5"/>
        <v>0.233686917389907</v>
      </c>
      <c r="L17" s="5">
        <f t="shared" si="6"/>
        <v>1814</v>
      </c>
      <c r="M17" s="15">
        <f t="shared" si="7"/>
        <v>0.583092253294761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r="18" spans="1:25">
      <c r="A18" s="4" t="s">
        <v>40</v>
      </c>
      <c r="B18" s="5">
        <v>4571</v>
      </c>
      <c r="C18" s="5">
        <v>3000</v>
      </c>
      <c r="D18" s="5">
        <v>1908</v>
      </c>
      <c r="E18" s="5">
        <v>2333</v>
      </c>
      <c r="F18" s="14">
        <f t="shared" si="0"/>
        <v>425</v>
      </c>
      <c r="G18" s="15">
        <f t="shared" si="1"/>
        <v>0.182168881268753</v>
      </c>
      <c r="H18" s="5">
        <f t="shared" si="2"/>
        <v>1571</v>
      </c>
      <c r="I18" s="15">
        <f t="shared" si="3"/>
        <v>0.343688470794137</v>
      </c>
      <c r="J18" s="5">
        <f t="shared" si="4"/>
        <v>1092</v>
      </c>
      <c r="K18" s="15">
        <f t="shared" si="5"/>
        <v>0.238897396630934</v>
      </c>
      <c r="L18" s="5">
        <f t="shared" si="6"/>
        <v>2663</v>
      </c>
      <c r="M18" s="15">
        <f t="shared" si="7"/>
        <v>0.582585867425071</v>
      </c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r="19" spans="1:25">
      <c r="A19" s="4" t="s">
        <v>20</v>
      </c>
      <c r="B19" s="5">
        <v>7175</v>
      </c>
      <c r="C19" s="5">
        <v>5199</v>
      </c>
      <c r="D19" s="5">
        <v>2517</v>
      </c>
      <c r="E19" s="5">
        <v>3067</v>
      </c>
      <c r="F19" s="14">
        <f t="shared" si="0"/>
        <v>550</v>
      </c>
      <c r="G19" s="15">
        <f t="shared" si="1"/>
        <v>0.179328333876753</v>
      </c>
      <c r="H19" s="5">
        <f t="shared" si="2"/>
        <v>1976</v>
      </c>
      <c r="I19" s="15">
        <f t="shared" si="3"/>
        <v>0.275400696864112</v>
      </c>
      <c r="J19" s="5">
        <f t="shared" si="4"/>
        <v>2682</v>
      </c>
      <c r="K19" s="15">
        <f t="shared" si="5"/>
        <v>0.373797909407665</v>
      </c>
      <c r="L19" s="5">
        <f t="shared" si="6"/>
        <v>4658</v>
      </c>
      <c r="M19" s="15">
        <f t="shared" si="7"/>
        <v>0.649198606271777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r="20" spans="1:25">
      <c r="A20" s="4" t="s">
        <v>35</v>
      </c>
      <c r="B20" s="5">
        <v>3687</v>
      </c>
      <c r="C20" s="5">
        <v>2495</v>
      </c>
      <c r="D20" s="5">
        <v>1579</v>
      </c>
      <c r="E20" s="5">
        <v>1909</v>
      </c>
      <c r="F20" s="14">
        <f t="shared" si="0"/>
        <v>330</v>
      </c>
      <c r="G20" s="15">
        <f t="shared" si="1"/>
        <v>0.172865374541645</v>
      </c>
      <c r="H20" s="5">
        <f t="shared" si="2"/>
        <v>1192</v>
      </c>
      <c r="I20" s="15">
        <f t="shared" si="3"/>
        <v>0.323298074315161</v>
      </c>
      <c r="J20" s="5">
        <f t="shared" si="4"/>
        <v>916</v>
      </c>
      <c r="K20" s="15">
        <f t="shared" si="5"/>
        <v>0.248440466503933</v>
      </c>
      <c r="L20" s="5">
        <f t="shared" si="6"/>
        <v>2108</v>
      </c>
      <c r="M20" s="15">
        <f t="shared" si="7"/>
        <v>0.571738540819094</v>
      </c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r="21" spans="1:25">
      <c r="A21" s="6" t="s">
        <v>41</v>
      </c>
      <c r="B21" s="7">
        <v>4453</v>
      </c>
      <c r="C21" s="7">
        <v>3027</v>
      </c>
      <c r="D21" s="7">
        <v>1888</v>
      </c>
      <c r="E21" s="5">
        <v>2273</v>
      </c>
      <c r="F21" s="14">
        <f t="shared" si="0"/>
        <v>385</v>
      </c>
      <c r="G21" s="15">
        <f t="shared" si="1"/>
        <v>0.169379674439067</v>
      </c>
      <c r="H21" s="5">
        <f t="shared" si="2"/>
        <v>1426</v>
      </c>
      <c r="I21" s="15">
        <f t="shared" si="3"/>
        <v>0.32023355041545</v>
      </c>
      <c r="J21" s="5">
        <f t="shared" si="4"/>
        <v>1139</v>
      </c>
      <c r="K21" s="15">
        <f t="shared" si="5"/>
        <v>0.255782618459466</v>
      </c>
      <c r="L21" s="5">
        <f t="shared" si="6"/>
        <v>2565</v>
      </c>
      <c r="M21" s="15">
        <f t="shared" si="7"/>
        <v>0.576016168874916</v>
      </c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 spans="1:25">
      <c r="A22" s="4" t="s">
        <v>25</v>
      </c>
      <c r="B22" s="5">
        <v>2452</v>
      </c>
      <c r="C22" s="5">
        <v>1633</v>
      </c>
      <c r="D22" s="5">
        <v>1025</v>
      </c>
      <c r="E22" s="5">
        <v>1221</v>
      </c>
      <c r="F22" s="14">
        <f t="shared" si="0"/>
        <v>196</v>
      </c>
      <c r="G22" s="15">
        <f t="shared" si="1"/>
        <v>0.160524160524161</v>
      </c>
      <c r="H22" s="5">
        <f t="shared" si="2"/>
        <v>819</v>
      </c>
      <c r="I22" s="15">
        <f t="shared" si="3"/>
        <v>0.334013050570962</v>
      </c>
      <c r="J22" s="5">
        <f t="shared" si="4"/>
        <v>608</v>
      </c>
      <c r="K22" s="15">
        <f t="shared" si="5"/>
        <v>0.247960848287113</v>
      </c>
      <c r="L22" s="5">
        <f t="shared" si="6"/>
        <v>1427</v>
      </c>
      <c r="M22" s="15">
        <f t="shared" si="7"/>
        <v>0.581973898858075</v>
      </c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r="23" spans="1:25">
      <c r="A23" s="4" t="s">
        <v>10</v>
      </c>
      <c r="B23" s="5">
        <v>2624</v>
      </c>
      <c r="C23" s="5">
        <v>1855</v>
      </c>
      <c r="D23" s="5">
        <v>1207</v>
      </c>
      <c r="E23" s="5">
        <v>1417</v>
      </c>
      <c r="F23" s="14">
        <f t="shared" si="0"/>
        <v>210</v>
      </c>
      <c r="G23" s="15">
        <f t="shared" si="1"/>
        <v>0.148200423429781</v>
      </c>
      <c r="H23" s="5">
        <f t="shared" si="2"/>
        <v>769</v>
      </c>
      <c r="I23" s="15">
        <f t="shared" si="3"/>
        <v>0.293064024390244</v>
      </c>
      <c r="J23" s="5">
        <f t="shared" si="4"/>
        <v>648</v>
      </c>
      <c r="K23" s="15">
        <f t="shared" si="5"/>
        <v>0.246951219512195</v>
      </c>
      <c r="L23" s="5">
        <f t="shared" si="6"/>
        <v>1417</v>
      </c>
      <c r="M23" s="15">
        <f t="shared" si="7"/>
        <v>0.540015243902439</v>
      </c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  <row r="24" spans="1:25">
      <c r="A24" s="4" t="s">
        <v>21</v>
      </c>
      <c r="B24" s="5">
        <v>2287</v>
      </c>
      <c r="C24" s="5">
        <v>1647</v>
      </c>
      <c r="D24" s="5">
        <v>1188</v>
      </c>
      <c r="E24" s="5">
        <v>1374</v>
      </c>
      <c r="F24" s="14">
        <f t="shared" si="0"/>
        <v>186</v>
      </c>
      <c r="G24" s="15">
        <f t="shared" si="1"/>
        <v>0.135371179039301</v>
      </c>
      <c r="H24" s="5">
        <f t="shared" si="2"/>
        <v>640</v>
      </c>
      <c r="I24" s="15">
        <f t="shared" si="3"/>
        <v>0.279842588543944</v>
      </c>
      <c r="J24" s="5">
        <f t="shared" si="4"/>
        <v>459</v>
      </c>
      <c r="K24" s="15">
        <f t="shared" si="5"/>
        <v>0.20069960647136</v>
      </c>
      <c r="L24" s="5">
        <f t="shared" si="6"/>
        <v>1099</v>
      </c>
      <c r="M24" s="15">
        <f t="shared" si="7"/>
        <v>0.480542195015304</v>
      </c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>
      <c r="A25" s="4" t="s">
        <v>13</v>
      </c>
      <c r="B25" s="5">
        <v>2982</v>
      </c>
      <c r="C25" s="5">
        <v>2229</v>
      </c>
      <c r="D25" s="5">
        <v>1464</v>
      </c>
      <c r="E25" s="5">
        <v>1656</v>
      </c>
      <c r="F25" s="14">
        <f t="shared" si="0"/>
        <v>192</v>
      </c>
      <c r="G25" s="15">
        <f t="shared" si="1"/>
        <v>0.115942028985507</v>
      </c>
      <c r="H25" s="5">
        <f t="shared" si="2"/>
        <v>753</v>
      </c>
      <c r="I25" s="15">
        <f t="shared" si="3"/>
        <v>0.25251509054326</v>
      </c>
      <c r="J25" s="5">
        <f t="shared" si="4"/>
        <v>765</v>
      </c>
      <c r="K25" s="15">
        <f t="shared" si="5"/>
        <v>0.256539235412475</v>
      </c>
      <c r="L25" s="5">
        <f t="shared" si="6"/>
        <v>1518</v>
      </c>
      <c r="M25" s="15">
        <f t="shared" si="7"/>
        <v>0.509054325955734</v>
      </c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r="26" spans="1:25">
      <c r="A26" s="4" t="s">
        <v>28</v>
      </c>
      <c r="B26" s="5">
        <v>2269</v>
      </c>
      <c r="C26" s="5">
        <v>1906</v>
      </c>
      <c r="D26" s="5">
        <v>1121</v>
      </c>
      <c r="E26" s="5">
        <v>1221</v>
      </c>
      <c r="F26" s="14">
        <f t="shared" si="0"/>
        <v>100</v>
      </c>
      <c r="G26" s="15">
        <f t="shared" si="1"/>
        <v>0.0819000819000819</v>
      </c>
      <c r="H26" s="5">
        <f t="shared" si="2"/>
        <v>363</v>
      </c>
      <c r="I26" s="15">
        <f t="shared" si="3"/>
        <v>0.159982371088585</v>
      </c>
      <c r="J26" s="5">
        <f t="shared" si="4"/>
        <v>785</v>
      </c>
      <c r="K26" s="15">
        <f t="shared" si="5"/>
        <v>0.345967386513883</v>
      </c>
      <c r="L26" s="5">
        <f t="shared" si="6"/>
        <v>1148</v>
      </c>
      <c r="M26" s="15">
        <f t="shared" si="7"/>
        <v>0.505949757602468</v>
      </c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r="27" spans="1:25">
      <c r="A27" s="4" t="s">
        <v>27</v>
      </c>
      <c r="B27" s="5">
        <v>1432</v>
      </c>
      <c r="C27" s="5">
        <v>1192</v>
      </c>
      <c r="D27" s="5">
        <v>855</v>
      </c>
      <c r="E27" s="5">
        <v>919</v>
      </c>
      <c r="F27" s="14">
        <f t="shared" si="0"/>
        <v>64</v>
      </c>
      <c r="G27" s="15">
        <f t="shared" si="1"/>
        <v>0.0696409140369967</v>
      </c>
      <c r="H27" s="5">
        <f t="shared" si="2"/>
        <v>240</v>
      </c>
      <c r="I27" s="15">
        <f t="shared" si="3"/>
        <v>0.167597765363128</v>
      </c>
      <c r="J27" s="5">
        <f t="shared" si="4"/>
        <v>337</v>
      </c>
      <c r="K27" s="15">
        <f t="shared" si="5"/>
        <v>0.235335195530726</v>
      </c>
      <c r="L27" s="5">
        <f t="shared" si="6"/>
        <v>577</v>
      </c>
      <c r="M27" s="15">
        <f t="shared" si="7"/>
        <v>0.402932960893855</v>
      </c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  <row r="28" spans="1:25">
      <c r="A28" s="4" t="s">
        <v>26</v>
      </c>
      <c r="B28" s="5">
        <v>855</v>
      </c>
      <c r="C28" s="5">
        <v>735</v>
      </c>
      <c r="D28" s="5">
        <v>540</v>
      </c>
      <c r="E28" s="5">
        <v>572</v>
      </c>
      <c r="F28" s="14">
        <f t="shared" si="0"/>
        <v>32</v>
      </c>
      <c r="G28" s="15">
        <f t="shared" si="1"/>
        <v>0.0559440559440559</v>
      </c>
      <c r="H28" s="5">
        <f t="shared" si="2"/>
        <v>120</v>
      </c>
      <c r="I28" s="15">
        <f t="shared" si="3"/>
        <v>0.140350877192982</v>
      </c>
      <c r="J28" s="5">
        <f t="shared" si="4"/>
        <v>195</v>
      </c>
      <c r="K28" s="15">
        <f t="shared" si="5"/>
        <v>0.228070175438596</v>
      </c>
      <c r="L28" s="5">
        <f t="shared" si="6"/>
        <v>315</v>
      </c>
      <c r="M28" s="15">
        <f t="shared" si="7"/>
        <v>0.368421052631579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</row>
    <row r="29" spans="1:25">
      <c r="A29" s="4" t="s">
        <v>39</v>
      </c>
      <c r="B29" s="5">
        <v>903</v>
      </c>
      <c r="C29" s="5">
        <v>783</v>
      </c>
      <c r="D29" s="5">
        <v>584</v>
      </c>
      <c r="E29" s="5">
        <v>616</v>
      </c>
      <c r="F29" s="14">
        <f t="shared" si="0"/>
        <v>32</v>
      </c>
      <c r="G29" s="15">
        <f t="shared" si="1"/>
        <v>0.051948051948052</v>
      </c>
      <c r="H29" s="5">
        <f t="shared" si="2"/>
        <v>120</v>
      </c>
      <c r="I29" s="15">
        <f t="shared" si="3"/>
        <v>0.132890365448505</v>
      </c>
      <c r="J29" s="5">
        <f t="shared" si="4"/>
        <v>199</v>
      </c>
      <c r="K29" s="15">
        <f t="shared" si="5"/>
        <v>0.220376522702104</v>
      </c>
      <c r="L29" s="5">
        <f t="shared" si="6"/>
        <v>319</v>
      </c>
      <c r="M29" s="15">
        <f t="shared" si="7"/>
        <v>0.353266888150609</v>
      </c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r="30" spans="1:25">
      <c r="A30" s="4" t="s">
        <v>12</v>
      </c>
      <c r="B30" s="5">
        <v>1080</v>
      </c>
      <c r="C30" s="5">
        <v>960</v>
      </c>
      <c r="D30" s="5">
        <v>727</v>
      </c>
      <c r="E30" s="5">
        <v>759</v>
      </c>
      <c r="F30" s="14">
        <f t="shared" si="0"/>
        <v>32</v>
      </c>
      <c r="G30" s="15">
        <f t="shared" si="1"/>
        <v>0.0421607378129117</v>
      </c>
      <c r="H30" s="5">
        <f t="shared" si="2"/>
        <v>120</v>
      </c>
      <c r="I30" s="15">
        <f t="shared" si="3"/>
        <v>0.111111111111111</v>
      </c>
      <c r="J30" s="5">
        <f t="shared" si="4"/>
        <v>233</v>
      </c>
      <c r="K30" s="15">
        <f t="shared" si="5"/>
        <v>0.215740740740741</v>
      </c>
      <c r="L30" s="5">
        <f t="shared" si="6"/>
        <v>353</v>
      </c>
      <c r="M30" s="15">
        <f t="shared" si="7"/>
        <v>0.326851851851852</v>
      </c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</row>
    <row r="31" spans="1:25">
      <c r="A31" s="4" t="s">
        <v>16</v>
      </c>
      <c r="B31" s="5">
        <v>1492</v>
      </c>
      <c r="C31" s="5">
        <v>1492</v>
      </c>
      <c r="D31" s="5">
        <v>722</v>
      </c>
      <c r="E31" s="5">
        <v>722</v>
      </c>
      <c r="F31" s="14">
        <f t="shared" si="0"/>
        <v>0</v>
      </c>
      <c r="G31" s="15">
        <f t="shared" si="1"/>
        <v>0</v>
      </c>
      <c r="H31" s="5">
        <f t="shared" si="2"/>
        <v>0</v>
      </c>
      <c r="I31" s="15">
        <f t="shared" si="3"/>
        <v>0</v>
      </c>
      <c r="J31" s="5">
        <f t="shared" si="4"/>
        <v>770</v>
      </c>
      <c r="K31" s="15">
        <f t="shared" si="5"/>
        <v>0.516085790884719</v>
      </c>
      <c r="L31" s="5">
        <f t="shared" si="6"/>
        <v>770</v>
      </c>
      <c r="M31" s="15">
        <f t="shared" si="7"/>
        <v>0.516085790884719</v>
      </c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</row>
    <row r="32" spans="1:25">
      <c r="A32" s="4" t="s">
        <v>31</v>
      </c>
      <c r="B32" s="5">
        <v>3424</v>
      </c>
      <c r="C32" s="5">
        <v>3424</v>
      </c>
      <c r="D32" s="5">
        <v>1488</v>
      </c>
      <c r="E32" s="5">
        <v>1488</v>
      </c>
      <c r="F32" s="14">
        <f t="shared" si="0"/>
        <v>0</v>
      </c>
      <c r="G32" s="15">
        <f t="shared" si="1"/>
        <v>0</v>
      </c>
      <c r="H32" s="5">
        <f t="shared" si="2"/>
        <v>0</v>
      </c>
      <c r="I32" s="15">
        <f t="shared" si="3"/>
        <v>0</v>
      </c>
      <c r="J32" s="5">
        <f t="shared" si="4"/>
        <v>1936</v>
      </c>
      <c r="K32" s="15">
        <f t="shared" si="5"/>
        <v>0.565420560747664</v>
      </c>
      <c r="L32" s="5">
        <f t="shared" si="6"/>
        <v>1936</v>
      </c>
      <c r="M32" s="15">
        <f t="shared" si="7"/>
        <v>0.565420560747664</v>
      </c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</row>
    <row r="33" spans="1:25">
      <c r="A33" s="4" t="s">
        <v>33</v>
      </c>
      <c r="B33" s="5">
        <v>1220</v>
      </c>
      <c r="C33" s="5">
        <v>1220</v>
      </c>
      <c r="D33" s="5">
        <v>537</v>
      </c>
      <c r="E33" s="5">
        <v>537</v>
      </c>
      <c r="F33" s="14">
        <f t="shared" si="0"/>
        <v>0</v>
      </c>
      <c r="G33" s="15">
        <f t="shared" si="1"/>
        <v>0</v>
      </c>
      <c r="H33" s="5">
        <f t="shared" si="2"/>
        <v>0</v>
      </c>
      <c r="I33" s="15">
        <f t="shared" si="3"/>
        <v>0</v>
      </c>
      <c r="J33" s="5">
        <f t="shared" si="4"/>
        <v>683</v>
      </c>
      <c r="K33" s="15">
        <f t="shared" si="5"/>
        <v>0.559836065573771</v>
      </c>
      <c r="L33" s="5">
        <f t="shared" si="6"/>
        <v>683</v>
      </c>
      <c r="M33" s="15">
        <f t="shared" si="7"/>
        <v>0.559836065573771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7.55" spans="1:25">
      <c r="A34" s="2" t="s">
        <v>0</v>
      </c>
      <c r="B34" s="9" t="s">
        <v>1</v>
      </c>
      <c r="C34" s="9" t="s">
        <v>2</v>
      </c>
      <c r="D34" s="2" t="s">
        <v>3</v>
      </c>
      <c r="E34" s="2" t="s">
        <v>53</v>
      </c>
      <c r="F34" s="2" t="s">
        <v>54</v>
      </c>
      <c r="G34" s="2" t="s">
        <v>55</v>
      </c>
      <c r="H34" s="2" t="s">
        <v>4</v>
      </c>
      <c r="I34" s="2" t="s">
        <v>5</v>
      </c>
      <c r="J34" s="2" t="s">
        <v>6</v>
      </c>
      <c r="K34" s="2" t="s">
        <v>7</v>
      </c>
      <c r="L34" s="2" t="s">
        <v>8</v>
      </c>
      <c r="M34" s="2" t="s">
        <v>9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spans="1:25">
      <c r="A35" s="10" t="s">
        <v>51</v>
      </c>
      <c r="B35" s="11">
        <f>SUM(B2:B33)</f>
        <v>117194</v>
      </c>
      <c r="C35" s="11">
        <f>SUM(C2:C33)</f>
        <v>76609</v>
      </c>
      <c r="D35" s="11">
        <f>SUM(D2:D33)</f>
        <v>46329</v>
      </c>
      <c r="E35" s="11">
        <f>SUM(E2:E33)</f>
        <v>58014</v>
      </c>
      <c r="F35" s="11">
        <f>SUM(F2:F33)</f>
        <v>11685</v>
      </c>
      <c r="G35" s="16">
        <f>F35/E35</f>
        <v>0.201416899369118</v>
      </c>
      <c r="H35" s="11">
        <f>SUM(H2:H33)</f>
        <v>40585</v>
      </c>
      <c r="I35" s="18">
        <f>H35/B35</f>
        <v>0.34630612488694</v>
      </c>
      <c r="J35" s="11">
        <f>C35-D35</f>
        <v>30280</v>
      </c>
      <c r="K35" s="18">
        <f>J35/C35</f>
        <v>0.395253821352583</v>
      </c>
      <c r="L35" s="11">
        <f>B35-D35</f>
        <v>70865</v>
      </c>
      <c r="M35" s="18">
        <f>L35/B35</f>
        <v>0.604681127020155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spans="1:25">
      <c r="A36" s="10" t="s">
        <v>52</v>
      </c>
      <c r="B36" s="12">
        <f>ROUNDUP(B35/1024,0)</f>
        <v>115</v>
      </c>
      <c r="C36" s="12">
        <f>ROUNDUP(C35/1024,0)</f>
        <v>75</v>
      </c>
      <c r="D36" s="12">
        <f>ROUNDUP(D35/1024,0)</f>
        <v>46</v>
      </c>
      <c r="E36" s="12">
        <f>ROUNDUP(E35/1024,0)</f>
        <v>57</v>
      </c>
      <c r="F36" s="12">
        <f>ROUNDUP(F35/1024,0)</f>
        <v>12</v>
      </c>
      <c r="G36" s="17"/>
      <c r="H36" s="12">
        <f>ROUNDUP(H35/1024,0)</f>
        <v>40</v>
      </c>
      <c r="I36" s="18"/>
      <c r="J36" s="12">
        <f>ROUNDUP(J35/1024,0)</f>
        <v>30</v>
      </c>
      <c r="K36" s="18"/>
      <c r="L36" s="12">
        <f>ROUNDUP(L35/1024,0)</f>
        <v>70</v>
      </c>
      <c r="M36" s="18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spans="1: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spans="1: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spans="1: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spans="1: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spans="1: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spans="1: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spans="1: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spans="1: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spans="1: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spans="1: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spans="1: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spans="1: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spans="1: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spans="1: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spans="1: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spans="1: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spans="1: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</sheetData>
  <mergeCells count="5">
    <mergeCell ref="G35:G36"/>
    <mergeCell ref="I35:I36"/>
    <mergeCell ref="K35:K36"/>
    <mergeCell ref="M35:M36"/>
    <mergeCell ref="N1:Y32"/>
  </mergeCell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3"/>
  <sheetViews>
    <sheetView tabSelected="1" workbookViewId="0">
      <selection activeCell="E2" sqref="E2"/>
    </sheetView>
  </sheetViews>
  <sheetFormatPr defaultColWidth="9" defaultRowHeight="16.8"/>
  <cols>
    <col min="1" max="1" width="52.2109375" customWidth="1"/>
    <col min="2" max="2" width="12.359375" customWidth="1"/>
    <col min="3" max="3" width="15.625" customWidth="1"/>
    <col min="4" max="4" width="13.9296875" customWidth="1"/>
    <col min="5" max="5" width="16.6640625" customWidth="1"/>
    <col min="6" max="6" width="21.7421875" customWidth="1"/>
    <col min="7" max="7" width="22.78125" customWidth="1"/>
    <col min="8" max="8" width="22.5234375" customWidth="1"/>
    <col min="9" max="9" width="24.078125" customWidth="1"/>
    <col min="10" max="10" width="22.78125" customWidth="1"/>
    <col min="11" max="11" width="24.34375" customWidth="1"/>
    <col min="12" max="12" width="16.265625" customWidth="1"/>
    <col min="13" max="13" width="22.125" customWidth="1"/>
  </cols>
  <sheetData>
    <row r="1" s="1" customFormat="1" spans="1:25">
      <c r="A1" s="2" t="s">
        <v>0</v>
      </c>
      <c r="B1" s="3" t="s">
        <v>1</v>
      </c>
      <c r="C1" s="3" t="s">
        <v>2</v>
      </c>
      <c r="D1" s="2" t="s">
        <v>3</v>
      </c>
      <c r="E1" s="2" t="s">
        <v>57</v>
      </c>
      <c r="F1" s="2" t="s">
        <v>58</v>
      </c>
      <c r="G1" s="2" t="s">
        <v>59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25">
      <c r="A2" s="4" t="s">
        <v>14</v>
      </c>
      <c r="B2" s="5">
        <v>7784</v>
      </c>
      <c r="C2" s="5">
        <v>5030</v>
      </c>
      <c r="D2" s="5">
        <v>2592</v>
      </c>
      <c r="E2" s="5">
        <v>757</v>
      </c>
      <c r="F2" s="14">
        <f>D2-E2</f>
        <v>1835</v>
      </c>
      <c r="G2" s="15">
        <f>F2/D2</f>
        <v>0.707947530864197</v>
      </c>
      <c r="H2" s="5">
        <f>B2-C2</f>
        <v>2754</v>
      </c>
      <c r="I2" s="15">
        <f>H2/B2</f>
        <v>0.353802672147996</v>
      </c>
      <c r="J2" s="5">
        <f>C2-D2</f>
        <v>2438</v>
      </c>
      <c r="K2" s="15">
        <f>J2/B2</f>
        <v>0.313206577595067</v>
      </c>
      <c r="L2" s="5">
        <f>B2-D2</f>
        <v>5192</v>
      </c>
      <c r="M2" s="15">
        <f>L2/B2</f>
        <v>0.667009249743063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>
      <c r="A3" s="4" t="s">
        <v>20</v>
      </c>
      <c r="B3" s="5">
        <v>7175</v>
      </c>
      <c r="C3" s="5">
        <v>5199</v>
      </c>
      <c r="D3" s="5">
        <v>2517</v>
      </c>
      <c r="E3" s="5">
        <v>708</v>
      </c>
      <c r="F3" s="14">
        <f>D3-E3</f>
        <v>1809</v>
      </c>
      <c r="G3" s="15">
        <f>F3/D3</f>
        <v>0.718712753277712</v>
      </c>
      <c r="H3" s="5">
        <f>B3-C3</f>
        <v>1976</v>
      </c>
      <c r="I3" s="15">
        <f>H3/B3</f>
        <v>0.275400696864112</v>
      </c>
      <c r="J3" s="5">
        <f>C3-D3</f>
        <v>2682</v>
      </c>
      <c r="K3" s="15">
        <f>J3/B3</f>
        <v>0.373797909407665</v>
      </c>
      <c r="L3" s="5">
        <f>B3-D3</f>
        <v>4658</v>
      </c>
      <c r="M3" s="15">
        <f>L3/B3</f>
        <v>0.649198606271777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>
      <c r="A4" s="4" t="s">
        <v>22</v>
      </c>
      <c r="B4" s="5">
        <v>5947</v>
      </c>
      <c r="C4" s="5">
        <v>3066</v>
      </c>
      <c r="D4" s="5">
        <v>1978</v>
      </c>
      <c r="E4" s="5">
        <v>650</v>
      </c>
      <c r="F4" s="14">
        <f>D4-E4</f>
        <v>1328</v>
      </c>
      <c r="G4" s="15">
        <f>F4/D4</f>
        <v>0.671385237613751</v>
      </c>
      <c r="H4" s="5">
        <f>B4-C4</f>
        <v>2881</v>
      </c>
      <c r="I4" s="15">
        <f>H4/B4</f>
        <v>0.484445939128973</v>
      </c>
      <c r="J4" s="5">
        <f>C4-D4</f>
        <v>1088</v>
      </c>
      <c r="K4" s="15">
        <f>J4/B4</f>
        <v>0.182949386245166</v>
      </c>
      <c r="L4" s="5">
        <f>B4-D4</f>
        <v>3969</v>
      </c>
      <c r="M4" s="15">
        <f>L4/B4</f>
        <v>0.667395325374138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>
      <c r="A5" s="4" t="s">
        <v>19</v>
      </c>
      <c r="B5" s="5">
        <v>5064</v>
      </c>
      <c r="C5" s="5">
        <v>3198</v>
      </c>
      <c r="D5" s="5">
        <v>2040</v>
      </c>
      <c r="E5" s="5">
        <v>647</v>
      </c>
      <c r="F5" s="14">
        <f>D5-E5</f>
        <v>1393</v>
      </c>
      <c r="G5" s="15">
        <f>F5/D5</f>
        <v>0.682843137254902</v>
      </c>
      <c r="H5" s="5">
        <f>B5-C5</f>
        <v>1866</v>
      </c>
      <c r="I5" s="15">
        <f>H5/B5</f>
        <v>0.368483412322275</v>
      </c>
      <c r="J5" s="5">
        <f>C5-D5</f>
        <v>1158</v>
      </c>
      <c r="K5" s="15">
        <f>J5/B5</f>
        <v>0.228672985781991</v>
      </c>
      <c r="L5" s="5">
        <f>B5-D5</f>
        <v>3024</v>
      </c>
      <c r="M5" s="15">
        <f>L5/B5</f>
        <v>0.597156398104265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>
      <c r="A6" s="4" t="s">
        <v>40</v>
      </c>
      <c r="B6" s="5">
        <v>4571</v>
      </c>
      <c r="C6" s="5">
        <v>3000</v>
      </c>
      <c r="D6" s="5">
        <v>1908</v>
      </c>
      <c r="E6" s="5">
        <v>624</v>
      </c>
      <c r="F6" s="14">
        <f>D6-E6</f>
        <v>1284</v>
      </c>
      <c r="G6" s="15">
        <f>F6/D6</f>
        <v>0.672955974842767</v>
      </c>
      <c r="H6" s="5">
        <f>B6-C6</f>
        <v>1571</v>
      </c>
      <c r="I6" s="15">
        <f>H6/B6</f>
        <v>0.343688470794137</v>
      </c>
      <c r="J6" s="5">
        <f>C6-D6</f>
        <v>1092</v>
      </c>
      <c r="K6" s="15">
        <f>J6/B6</f>
        <v>0.238897396630934</v>
      </c>
      <c r="L6" s="5">
        <f>B6-D6</f>
        <v>2663</v>
      </c>
      <c r="M6" s="15">
        <f>L6/B6</f>
        <v>0.582585867425071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>
      <c r="A7" s="4" t="s">
        <v>36</v>
      </c>
      <c r="B7" s="5">
        <v>6259</v>
      </c>
      <c r="C7" s="5">
        <v>4223</v>
      </c>
      <c r="D7" s="5">
        <v>2429</v>
      </c>
      <c r="E7" s="5">
        <v>616</v>
      </c>
      <c r="F7" s="14">
        <f>D7-E7</f>
        <v>1813</v>
      </c>
      <c r="G7" s="15">
        <f>F7/D7</f>
        <v>0.746397694524496</v>
      </c>
      <c r="H7" s="5">
        <f>B7-C7</f>
        <v>2036</v>
      </c>
      <c r="I7" s="15">
        <f>H7/B7</f>
        <v>0.325291580124621</v>
      </c>
      <c r="J7" s="5">
        <f>C7-D7</f>
        <v>1794</v>
      </c>
      <c r="K7" s="15">
        <f>J7/B7</f>
        <v>0.28662725675028</v>
      </c>
      <c r="L7" s="5">
        <f>B7-D7</f>
        <v>3830</v>
      </c>
      <c r="M7" s="15">
        <f>L7/B7</f>
        <v>0.6119188368749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>
      <c r="A8" s="4" t="s">
        <v>37</v>
      </c>
      <c r="B8" s="5">
        <v>5647</v>
      </c>
      <c r="C8" s="5">
        <v>2839</v>
      </c>
      <c r="D8" s="5">
        <v>1742</v>
      </c>
      <c r="E8" s="5">
        <v>609</v>
      </c>
      <c r="F8" s="14">
        <f>D8-E8</f>
        <v>1133</v>
      </c>
      <c r="G8" s="15">
        <f>F8/D8</f>
        <v>0.650401836969001</v>
      </c>
      <c r="H8" s="5">
        <f>B8-C8</f>
        <v>2808</v>
      </c>
      <c r="I8" s="15">
        <f>H8/B8</f>
        <v>0.497255179741456</v>
      </c>
      <c r="J8" s="5">
        <f>C8-D8</f>
        <v>1097</v>
      </c>
      <c r="K8" s="15">
        <f>J8/B8</f>
        <v>0.194262440233752</v>
      </c>
      <c r="L8" s="5">
        <f>B8-D8</f>
        <v>3905</v>
      </c>
      <c r="M8" s="15">
        <f>L8/B8</f>
        <v>0.691517619975208</v>
      </c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>
      <c r="A9" s="4" t="s">
        <v>11</v>
      </c>
      <c r="B9" s="5">
        <v>3681</v>
      </c>
      <c r="C9" s="5">
        <v>2252</v>
      </c>
      <c r="D9" s="5">
        <v>1471</v>
      </c>
      <c r="E9" s="5">
        <v>603</v>
      </c>
      <c r="F9" s="14">
        <f>D9-E9</f>
        <v>868</v>
      </c>
      <c r="G9" s="15">
        <f>F9/D9</f>
        <v>0.590074779061863</v>
      </c>
      <c r="H9" s="5">
        <f>B9-C9</f>
        <v>1429</v>
      </c>
      <c r="I9" s="15">
        <f>H9/B9</f>
        <v>0.388209725618039</v>
      </c>
      <c r="J9" s="5">
        <f>C9-D9</f>
        <v>781</v>
      </c>
      <c r="K9" s="15">
        <f>J9/B9</f>
        <v>0.212170605813638</v>
      </c>
      <c r="L9" s="5">
        <f>B9-D9</f>
        <v>2210</v>
      </c>
      <c r="M9" s="15">
        <f>L9/B9</f>
        <v>0.600380331431676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>
      <c r="A10" s="4" t="s">
        <v>30</v>
      </c>
      <c r="B10" s="5">
        <v>4488</v>
      </c>
      <c r="C10" s="5">
        <v>2858</v>
      </c>
      <c r="D10" s="5">
        <v>1787</v>
      </c>
      <c r="E10" s="5">
        <v>590</v>
      </c>
      <c r="F10" s="14">
        <f>D10-E10</f>
        <v>1197</v>
      </c>
      <c r="G10" s="15">
        <f>F10/D10</f>
        <v>0.669837716843872</v>
      </c>
      <c r="H10" s="5">
        <f>B10-C10</f>
        <v>1630</v>
      </c>
      <c r="I10" s="15">
        <f>H10/B10</f>
        <v>0.36319073083779</v>
      </c>
      <c r="J10" s="5">
        <f>C10-D10</f>
        <v>1071</v>
      </c>
      <c r="K10" s="15">
        <f>J10/B10</f>
        <v>0.238636363636364</v>
      </c>
      <c r="L10" s="5">
        <f>B10-D10</f>
        <v>2701</v>
      </c>
      <c r="M10" s="15">
        <f>L10/B10</f>
        <v>0.601827094474153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>
      <c r="A11" s="6" t="s">
        <v>41</v>
      </c>
      <c r="B11" s="7">
        <v>4453</v>
      </c>
      <c r="C11" s="7">
        <v>3027</v>
      </c>
      <c r="D11" s="7">
        <v>1888</v>
      </c>
      <c r="E11" s="5">
        <v>582</v>
      </c>
      <c r="F11" s="14">
        <f>D11-E11</f>
        <v>1306</v>
      </c>
      <c r="G11" s="15">
        <f>F11/D11</f>
        <v>0.691737288135593</v>
      </c>
      <c r="H11" s="5">
        <f>B11-C11</f>
        <v>1426</v>
      </c>
      <c r="I11" s="15">
        <f>H11/B11</f>
        <v>0.32023355041545</v>
      </c>
      <c r="J11" s="5">
        <f>C11-D11</f>
        <v>1139</v>
      </c>
      <c r="K11" s="15">
        <f>J11/B11</f>
        <v>0.255782618459466</v>
      </c>
      <c r="L11" s="5">
        <f>B11-D11</f>
        <v>2565</v>
      </c>
      <c r="M11" s="15">
        <f>L11/B11</f>
        <v>0.576016168874916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r="12" spans="1:25">
      <c r="A12" s="4" t="s">
        <v>13</v>
      </c>
      <c r="B12" s="5">
        <v>2982</v>
      </c>
      <c r="C12" s="5">
        <v>2229</v>
      </c>
      <c r="D12" s="5">
        <v>1464</v>
      </c>
      <c r="E12" s="5">
        <v>581</v>
      </c>
      <c r="F12" s="14">
        <f>D12-E12</f>
        <v>883</v>
      </c>
      <c r="G12" s="15">
        <f>F12/D12</f>
        <v>0.603142076502732</v>
      </c>
      <c r="H12" s="5">
        <f>B12-C12</f>
        <v>753</v>
      </c>
      <c r="I12" s="15">
        <f>H12/B12</f>
        <v>0.25251509054326</v>
      </c>
      <c r="J12" s="5">
        <f>C12-D12</f>
        <v>765</v>
      </c>
      <c r="K12" s="15">
        <f>J12/B12</f>
        <v>0.256539235412475</v>
      </c>
      <c r="L12" s="5">
        <f>B12-D12</f>
        <v>1518</v>
      </c>
      <c r="M12" s="15">
        <f>L12/B12</f>
        <v>0.509054325955734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r="13" spans="1:25">
      <c r="A13" s="4" t="s">
        <v>15</v>
      </c>
      <c r="B13" s="5">
        <v>4261</v>
      </c>
      <c r="C13" s="5">
        <v>2368</v>
      </c>
      <c r="D13" s="8">
        <v>1519</v>
      </c>
      <c r="E13" s="5">
        <v>574</v>
      </c>
      <c r="F13" s="14">
        <f>D13-E13</f>
        <v>945</v>
      </c>
      <c r="G13" s="15">
        <f>F13/D13</f>
        <v>0.622119815668203</v>
      </c>
      <c r="H13" s="5">
        <f>B13-C13</f>
        <v>1893</v>
      </c>
      <c r="I13" s="15">
        <f>H13/B13</f>
        <v>0.444261910349683</v>
      </c>
      <c r="J13" s="5">
        <f>C13-D13</f>
        <v>849</v>
      </c>
      <c r="K13" s="15">
        <f>J13/B13</f>
        <v>0.199249002581554</v>
      </c>
      <c r="L13" s="5">
        <f>B13-D13</f>
        <v>2742</v>
      </c>
      <c r="M13" s="15">
        <f>L13/B13</f>
        <v>0.643510912931237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r="14" spans="1:25">
      <c r="A14" s="4" t="s">
        <v>35</v>
      </c>
      <c r="B14" s="5">
        <v>3687</v>
      </c>
      <c r="C14" s="5">
        <v>2495</v>
      </c>
      <c r="D14" s="5">
        <v>1579</v>
      </c>
      <c r="E14" s="5">
        <v>573</v>
      </c>
      <c r="F14" s="14">
        <f>D14-E14</f>
        <v>1006</v>
      </c>
      <c r="G14" s="15">
        <f>F14/D14</f>
        <v>0.637112096263458</v>
      </c>
      <c r="H14" s="5">
        <f>B14-C14</f>
        <v>1192</v>
      </c>
      <c r="I14" s="15">
        <f>H14/B14</f>
        <v>0.323298074315161</v>
      </c>
      <c r="J14" s="5">
        <f>C14-D14</f>
        <v>916</v>
      </c>
      <c r="K14" s="15">
        <f>J14/B14</f>
        <v>0.248440466503933</v>
      </c>
      <c r="L14" s="5">
        <f>B14-D14</f>
        <v>2108</v>
      </c>
      <c r="M14" s="15">
        <f>L14/B14</f>
        <v>0.571738540819094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 spans="1:25">
      <c r="A15" s="4" t="s">
        <v>18</v>
      </c>
      <c r="B15" s="5">
        <v>5270</v>
      </c>
      <c r="C15" s="5">
        <v>2833</v>
      </c>
      <c r="D15" s="5">
        <v>1736</v>
      </c>
      <c r="E15" s="5">
        <v>570</v>
      </c>
      <c r="F15" s="14">
        <f>D15-E15</f>
        <v>1166</v>
      </c>
      <c r="G15" s="15">
        <f>F15/D15</f>
        <v>0.671658986175115</v>
      </c>
      <c r="H15" s="5">
        <f>B15-C15</f>
        <v>2437</v>
      </c>
      <c r="I15" s="15">
        <f>H15/B15</f>
        <v>0.462428842504744</v>
      </c>
      <c r="J15" s="5">
        <f>C15-D15</f>
        <v>1097</v>
      </c>
      <c r="K15" s="15">
        <f>J15/B15</f>
        <v>0.208159392789374</v>
      </c>
      <c r="L15" s="5">
        <f>B15-D15</f>
        <v>3534</v>
      </c>
      <c r="M15" s="15">
        <f>L15/B15</f>
        <v>0.670588235294118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 spans="1:25">
      <c r="A16" s="4" t="s">
        <v>17</v>
      </c>
      <c r="B16" s="5">
        <v>6043</v>
      </c>
      <c r="C16" s="5">
        <v>2919</v>
      </c>
      <c r="D16" s="5">
        <v>1757</v>
      </c>
      <c r="E16" s="5">
        <v>556</v>
      </c>
      <c r="F16" s="14">
        <f>D16-E16</f>
        <v>1201</v>
      </c>
      <c r="G16" s="15">
        <f>F16/D16</f>
        <v>0.683551508252703</v>
      </c>
      <c r="H16" s="5">
        <f>B16-C16</f>
        <v>3124</v>
      </c>
      <c r="I16" s="15">
        <f>H16/B16</f>
        <v>0.516961773953334</v>
      </c>
      <c r="J16" s="5">
        <f>C16-D16</f>
        <v>1162</v>
      </c>
      <c r="K16" s="15">
        <f>J16/B16</f>
        <v>0.192288598378289</v>
      </c>
      <c r="L16" s="5">
        <f>B16-D16</f>
        <v>4286</v>
      </c>
      <c r="M16" s="15">
        <f>L16/B16</f>
        <v>0.709250372331623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r="17" spans="1:25">
      <c r="A17" s="4" t="s">
        <v>29</v>
      </c>
      <c r="B17" s="5">
        <v>3111</v>
      </c>
      <c r="C17" s="5">
        <v>2024</v>
      </c>
      <c r="D17" s="5">
        <v>1297</v>
      </c>
      <c r="E17" s="5">
        <v>549</v>
      </c>
      <c r="F17" s="14">
        <f>D17-E17</f>
        <v>748</v>
      </c>
      <c r="G17" s="15">
        <f>F17/D17</f>
        <v>0.576715497301465</v>
      </c>
      <c r="H17" s="5">
        <f>B17-C17</f>
        <v>1087</v>
      </c>
      <c r="I17" s="15">
        <f>H17/B17</f>
        <v>0.349405335904854</v>
      </c>
      <c r="J17" s="5">
        <f>C17-D17</f>
        <v>727</v>
      </c>
      <c r="K17" s="15">
        <f>J17/B17</f>
        <v>0.233686917389907</v>
      </c>
      <c r="L17" s="5">
        <f>B17-D17</f>
        <v>1814</v>
      </c>
      <c r="M17" s="15">
        <f>L17/B17</f>
        <v>0.583092253294761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r="18" spans="1:25">
      <c r="A18" s="4" t="s">
        <v>23</v>
      </c>
      <c r="B18" s="5">
        <v>3667</v>
      </c>
      <c r="C18" s="5">
        <v>2291</v>
      </c>
      <c r="D18" s="5">
        <v>1479</v>
      </c>
      <c r="E18" s="5">
        <v>548</v>
      </c>
      <c r="F18" s="14">
        <f>D18-E18</f>
        <v>931</v>
      </c>
      <c r="G18" s="15">
        <f>F18/D18</f>
        <v>0.62947937795808</v>
      </c>
      <c r="H18" s="5">
        <f>B18-C18</f>
        <v>1376</v>
      </c>
      <c r="I18" s="15">
        <f>H18/B18</f>
        <v>0.375238614671394</v>
      </c>
      <c r="J18" s="5">
        <f>C18-D18</f>
        <v>812</v>
      </c>
      <c r="K18" s="15">
        <f>J18/B18</f>
        <v>0.221434415053177</v>
      </c>
      <c r="L18" s="5">
        <f>B18-D18</f>
        <v>2188</v>
      </c>
      <c r="M18" s="15">
        <f>L18/B18</f>
        <v>0.59667302972457</v>
      </c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r="19" spans="1:25">
      <c r="A19" s="4" t="s">
        <v>56</v>
      </c>
      <c r="B19" s="5">
        <v>3593</v>
      </c>
      <c r="C19" s="5">
        <v>2278</v>
      </c>
      <c r="D19" s="5">
        <v>1426</v>
      </c>
      <c r="E19" s="5">
        <v>546</v>
      </c>
      <c r="F19" s="14">
        <f>D19-E19</f>
        <v>880</v>
      </c>
      <c r="G19" s="15">
        <f>F19/D19</f>
        <v>0.61711079943899</v>
      </c>
      <c r="H19" s="5">
        <f>B19-C19</f>
        <v>1315</v>
      </c>
      <c r="I19" s="15">
        <f>H19/B19</f>
        <v>0.365989423879766</v>
      </c>
      <c r="J19" s="5">
        <f>C19-D19</f>
        <v>852</v>
      </c>
      <c r="K19" s="15">
        <f>J19/B19</f>
        <v>0.237127748399666</v>
      </c>
      <c r="L19" s="5">
        <f>B19-D19</f>
        <v>2167</v>
      </c>
      <c r="M19" s="15">
        <f>L19/B19</f>
        <v>0.603117172279432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r="20" spans="1:25">
      <c r="A20" s="4" t="s">
        <v>24</v>
      </c>
      <c r="B20" s="5">
        <v>2988</v>
      </c>
      <c r="C20" s="5">
        <v>1861</v>
      </c>
      <c r="D20" s="5">
        <v>1235</v>
      </c>
      <c r="E20" s="5">
        <v>543</v>
      </c>
      <c r="F20" s="14">
        <f>D20-E20</f>
        <v>692</v>
      </c>
      <c r="G20" s="15">
        <f>F20/D20</f>
        <v>0.560323886639676</v>
      </c>
      <c r="H20" s="5">
        <f>B20-C20</f>
        <v>1127</v>
      </c>
      <c r="I20" s="15">
        <f>H20/B20</f>
        <v>0.377175368139224</v>
      </c>
      <c r="J20" s="5">
        <f>C20-D20</f>
        <v>626</v>
      </c>
      <c r="K20" s="15">
        <f>J20/B20</f>
        <v>0.2095046854083</v>
      </c>
      <c r="L20" s="5">
        <f>B20-D20</f>
        <v>1753</v>
      </c>
      <c r="M20" s="15">
        <f>L20/B20</f>
        <v>0.586680053547523</v>
      </c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r="21" spans="1:25">
      <c r="A21" s="4" t="s">
        <v>21</v>
      </c>
      <c r="B21" s="5">
        <v>2287</v>
      </c>
      <c r="C21" s="5">
        <v>1647</v>
      </c>
      <c r="D21" s="5">
        <v>1188</v>
      </c>
      <c r="E21" s="5">
        <v>542</v>
      </c>
      <c r="F21" s="14">
        <f>D21-E21</f>
        <v>646</v>
      </c>
      <c r="G21" s="15">
        <f>F21/D21</f>
        <v>0.543771043771044</v>
      </c>
      <c r="H21" s="5">
        <f>B21-C21</f>
        <v>640</v>
      </c>
      <c r="I21" s="15">
        <f>H21/B21</f>
        <v>0.279842588543944</v>
      </c>
      <c r="J21" s="5">
        <f>C21-D21</f>
        <v>459</v>
      </c>
      <c r="K21" s="15">
        <f>J21/B21</f>
        <v>0.20069960647136</v>
      </c>
      <c r="L21" s="5">
        <f>B21-D21</f>
        <v>1099</v>
      </c>
      <c r="M21" s="15">
        <f>L21/B21</f>
        <v>0.480542195015304</v>
      </c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 spans="1:25">
      <c r="A22" s="4" t="s">
        <v>28</v>
      </c>
      <c r="B22" s="5">
        <v>2269</v>
      </c>
      <c r="C22" s="5">
        <v>1906</v>
      </c>
      <c r="D22" s="5">
        <v>1121</v>
      </c>
      <c r="E22" s="5">
        <v>537</v>
      </c>
      <c r="F22" s="14">
        <f>D22-E22</f>
        <v>584</v>
      </c>
      <c r="G22" s="15">
        <f>F22/D22</f>
        <v>0.520963425512935</v>
      </c>
      <c r="H22" s="5">
        <f>B22-C22</f>
        <v>363</v>
      </c>
      <c r="I22" s="15">
        <f>H22/B22</f>
        <v>0.159982371088585</v>
      </c>
      <c r="J22" s="5">
        <f>C22-D22</f>
        <v>785</v>
      </c>
      <c r="K22" s="15">
        <f>J22/B22</f>
        <v>0.345967386513883</v>
      </c>
      <c r="L22" s="5">
        <f>B22-D22</f>
        <v>1148</v>
      </c>
      <c r="M22" s="15">
        <f>L22/B22</f>
        <v>0.505949757602468</v>
      </c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r="23" spans="1:25">
      <c r="A23" s="4" t="s">
        <v>34</v>
      </c>
      <c r="B23" s="5">
        <v>3062</v>
      </c>
      <c r="C23" s="5">
        <v>1903</v>
      </c>
      <c r="D23" s="5">
        <v>1253</v>
      </c>
      <c r="E23" s="5">
        <v>525</v>
      </c>
      <c r="F23" s="14">
        <f>D23-E23</f>
        <v>728</v>
      </c>
      <c r="G23" s="15">
        <f>F23/D23</f>
        <v>0.581005586592179</v>
      </c>
      <c r="H23" s="5">
        <f>B23-C23</f>
        <v>1159</v>
      </c>
      <c r="I23" s="15">
        <f>H23/B23</f>
        <v>0.378510777269758</v>
      </c>
      <c r="J23" s="5">
        <f>C23-D23</f>
        <v>650</v>
      </c>
      <c r="K23" s="15">
        <f>J23/B23</f>
        <v>0.212279555845852</v>
      </c>
      <c r="L23" s="5">
        <f>B23-D23</f>
        <v>1809</v>
      </c>
      <c r="M23" s="15">
        <f>L23/B23</f>
        <v>0.590790333115611</v>
      </c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  <row r="24" spans="1:25">
      <c r="A24" s="4" t="s">
        <v>38</v>
      </c>
      <c r="B24" s="5">
        <v>3423</v>
      </c>
      <c r="C24" s="5">
        <v>1869</v>
      </c>
      <c r="D24" s="5">
        <v>1238</v>
      </c>
      <c r="E24" s="5">
        <v>508</v>
      </c>
      <c r="F24" s="14">
        <f>D24-E24</f>
        <v>730</v>
      </c>
      <c r="G24" s="15">
        <f>F24/D24</f>
        <v>0.589660743134087</v>
      </c>
      <c r="H24" s="5">
        <f>B24-C24</f>
        <v>1554</v>
      </c>
      <c r="I24" s="15">
        <f>H24/B24</f>
        <v>0.45398773006135</v>
      </c>
      <c r="J24" s="5">
        <f>C24-D24</f>
        <v>631</v>
      </c>
      <c r="K24" s="15">
        <f>J24/B24</f>
        <v>0.184341221151037</v>
      </c>
      <c r="L24" s="5">
        <f>B24-D24</f>
        <v>2185</v>
      </c>
      <c r="M24" s="15">
        <f>L24/B24</f>
        <v>0.638328951212387</v>
      </c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>
      <c r="A25" s="4" t="s">
        <v>33</v>
      </c>
      <c r="B25" s="5">
        <v>1220</v>
      </c>
      <c r="C25" s="5">
        <v>1220</v>
      </c>
      <c r="D25" s="5">
        <v>537</v>
      </c>
      <c r="E25" s="5">
        <v>485</v>
      </c>
      <c r="F25" s="14">
        <f>D25-E25</f>
        <v>52</v>
      </c>
      <c r="G25" s="15">
        <f>F25/D25</f>
        <v>0.0968342644320298</v>
      </c>
      <c r="H25" s="5">
        <f>B25-C25</f>
        <v>0</v>
      </c>
      <c r="I25" s="15">
        <f>H25/B25</f>
        <v>0</v>
      </c>
      <c r="J25" s="5">
        <f>C25-D25</f>
        <v>683</v>
      </c>
      <c r="K25" s="15">
        <f>J25/B25</f>
        <v>0.559836065573771</v>
      </c>
      <c r="L25" s="5">
        <f>B25-D25</f>
        <v>683</v>
      </c>
      <c r="M25" s="15">
        <f>L25/B25</f>
        <v>0.559836065573771</v>
      </c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r="26" spans="1:25">
      <c r="A26" s="4" t="s">
        <v>10</v>
      </c>
      <c r="B26" s="5">
        <v>2624</v>
      </c>
      <c r="C26" s="5">
        <v>1855</v>
      </c>
      <c r="D26" s="5">
        <v>1207</v>
      </c>
      <c r="E26" s="5">
        <v>484</v>
      </c>
      <c r="F26" s="14">
        <f>D26-E26</f>
        <v>723</v>
      </c>
      <c r="G26" s="15">
        <f>F26/D26</f>
        <v>0.5990057995029</v>
      </c>
      <c r="H26" s="5">
        <f>B26-C26</f>
        <v>769</v>
      </c>
      <c r="I26" s="15">
        <f>H26/B26</f>
        <v>0.293064024390244</v>
      </c>
      <c r="J26" s="5">
        <f>C26-D26</f>
        <v>648</v>
      </c>
      <c r="K26" s="15">
        <f>J26/B26</f>
        <v>0.246951219512195</v>
      </c>
      <c r="L26" s="5">
        <f>B26-D26</f>
        <v>1417</v>
      </c>
      <c r="M26" s="15">
        <f>L26/B26</f>
        <v>0.540015243902439</v>
      </c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r="27" spans="1:25">
      <c r="A27" s="4" t="s">
        <v>27</v>
      </c>
      <c r="B27" s="5">
        <v>1432</v>
      </c>
      <c r="C27" s="5">
        <v>1192</v>
      </c>
      <c r="D27" s="5">
        <v>855</v>
      </c>
      <c r="E27" s="5">
        <v>467</v>
      </c>
      <c r="F27" s="14">
        <f>D27-E27</f>
        <v>388</v>
      </c>
      <c r="G27" s="15">
        <f>F27/D27</f>
        <v>0.453801169590643</v>
      </c>
      <c r="H27" s="5">
        <f>B27-C27</f>
        <v>240</v>
      </c>
      <c r="I27" s="15">
        <f>H27/B27</f>
        <v>0.167597765363128</v>
      </c>
      <c r="J27" s="5">
        <f>C27-D27</f>
        <v>337</v>
      </c>
      <c r="K27" s="15">
        <f>J27/B27</f>
        <v>0.235335195530726</v>
      </c>
      <c r="L27" s="5">
        <f>B27-D27</f>
        <v>577</v>
      </c>
      <c r="M27" s="15">
        <f>L27/B27</f>
        <v>0.402932960893855</v>
      </c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  <row r="28" spans="1:25">
      <c r="A28" s="4" t="s">
        <v>25</v>
      </c>
      <c r="B28" s="5">
        <v>2452</v>
      </c>
      <c r="C28" s="5">
        <v>1633</v>
      </c>
      <c r="D28" s="5">
        <v>1025</v>
      </c>
      <c r="E28" s="5">
        <v>458</v>
      </c>
      <c r="F28" s="14">
        <f>D28-E28</f>
        <v>567</v>
      </c>
      <c r="G28" s="15">
        <f>F28/D28</f>
        <v>0.553170731707317</v>
      </c>
      <c r="H28" s="5">
        <f>B28-C28</f>
        <v>819</v>
      </c>
      <c r="I28" s="15">
        <f>H28/B28</f>
        <v>0.334013050570962</v>
      </c>
      <c r="J28" s="5">
        <f>C28-D28</f>
        <v>608</v>
      </c>
      <c r="K28" s="15">
        <f>J28/B28</f>
        <v>0.247960848287113</v>
      </c>
      <c r="L28" s="5">
        <f>B28-D28</f>
        <v>1427</v>
      </c>
      <c r="M28" s="15">
        <f>L28/B28</f>
        <v>0.581973898858075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</row>
    <row r="29" spans="1:25">
      <c r="A29" s="4" t="s">
        <v>12</v>
      </c>
      <c r="B29" s="5">
        <v>1080</v>
      </c>
      <c r="C29" s="5">
        <v>960</v>
      </c>
      <c r="D29" s="5">
        <v>727</v>
      </c>
      <c r="E29" s="5">
        <v>440</v>
      </c>
      <c r="F29" s="14">
        <f>D29-E29</f>
        <v>287</v>
      </c>
      <c r="G29" s="15">
        <f>F29/D29</f>
        <v>0.394773039889959</v>
      </c>
      <c r="H29" s="5">
        <f>B29-C29</f>
        <v>120</v>
      </c>
      <c r="I29" s="15">
        <f>H29/B29</f>
        <v>0.111111111111111</v>
      </c>
      <c r="J29" s="5">
        <f>C29-D29</f>
        <v>233</v>
      </c>
      <c r="K29" s="15">
        <f>J29/B29</f>
        <v>0.215740740740741</v>
      </c>
      <c r="L29" s="5">
        <f>B29-D29</f>
        <v>353</v>
      </c>
      <c r="M29" s="15">
        <f>L29/B29</f>
        <v>0.326851851851852</v>
      </c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r="30" spans="1:25">
      <c r="A30" s="4" t="s">
        <v>26</v>
      </c>
      <c r="B30" s="5">
        <v>855</v>
      </c>
      <c r="C30" s="5">
        <v>735</v>
      </c>
      <c r="D30" s="5">
        <v>540</v>
      </c>
      <c r="E30" s="5">
        <v>400</v>
      </c>
      <c r="F30" s="14">
        <f>D30-E30</f>
        <v>140</v>
      </c>
      <c r="G30" s="15">
        <f>F30/D30</f>
        <v>0.259259259259259</v>
      </c>
      <c r="H30" s="5">
        <f>B30-C30</f>
        <v>120</v>
      </c>
      <c r="I30" s="15">
        <f>H30/B30</f>
        <v>0.140350877192982</v>
      </c>
      <c r="J30" s="5">
        <f>C30-D30</f>
        <v>195</v>
      </c>
      <c r="K30" s="15">
        <f>J30/B30</f>
        <v>0.228070175438596</v>
      </c>
      <c r="L30" s="5">
        <f>B30-D30</f>
        <v>315</v>
      </c>
      <c r="M30" s="15">
        <f>L30/B30</f>
        <v>0.368421052631579</v>
      </c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</row>
    <row r="31" spans="1:25">
      <c r="A31" s="4" t="s">
        <v>39</v>
      </c>
      <c r="B31" s="5">
        <v>903</v>
      </c>
      <c r="C31" s="5">
        <v>783</v>
      </c>
      <c r="D31" s="5">
        <v>584</v>
      </c>
      <c r="E31" s="5">
        <v>391</v>
      </c>
      <c r="F31" s="14">
        <f>D31-E31</f>
        <v>193</v>
      </c>
      <c r="G31" s="15">
        <f>F31/D31</f>
        <v>0.330479452054795</v>
      </c>
      <c r="H31" s="5">
        <f>B31-C31</f>
        <v>120</v>
      </c>
      <c r="I31" s="15">
        <f>H31/B31</f>
        <v>0.132890365448505</v>
      </c>
      <c r="J31" s="5">
        <f>C31-D31</f>
        <v>199</v>
      </c>
      <c r="K31" s="15">
        <f>J31/B31</f>
        <v>0.220376522702104</v>
      </c>
      <c r="L31" s="5">
        <f>B31-D31</f>
        <v>319</v>
      </c>
      <c r="M31" s="15">
        <f>L31/B31</f>
        <v>0.353266888150609</v>
      </c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</row>
    <row r="32" spans="1:25">
      <c r="A32" s="4" t="s">
        <v>16</v>
      </c>
      <c r="B32" s="5">
        <v>1492</v>
      </c>
      <c r="C32" s="5">
        <v>1492</v>
      </c>
      <c r="D32" s="5">
        <v>722</v>
      </c>
      <c r="E32" s="5">
        <v>368</v>
      </c>
      <c r="F32" s="14">
        <f>D32-E32</f>
        <v>354</v>
      </c>
      <c r="G32" s="15">
        <f>F32/D32</f>
        <v>0.490304709141274</v>
      </c>
      <c r="H32" s="5">
        <f>B32-C32</f>
        <v>0</v>
      </c>
      <c r="I32" s="15">
        <f>H32/B32</f>
        <v>0</v>
      </c>
      <c r="J32" s="5">
        <f>C32-D32</f>
        <v>770</v>
      </c>
      <c r="K32" s="15">
        <f>J32/B32</f>
        <v>0.516085790884719</v>
      </c>
      <c r="L32" s="5">
        <f>B32-D32</f>
        <v>770</v>
      </c>
      <c r="M32" s="15">
        <f>L32/B32</f>
        <v>0.516085790884719</v>
      </c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</row>
    <row r="33" spans="1:25">
      <c r="A33" s="4" t="s">
        <v>31</v>
      </c>
      <c r="B33" s="5">
        <v>3424</v>
      </c>
      <c r="C33" s="5">
        <v>3424</v>
      </c>
      <c r="D33" s="5">
        <v>1488</v>
      </c>
      <c r="E33" s="5">
        <v>287</v>
      </c>
      <c r="F33" s="14">
        <f>D33-E33</f>
        <v>1201</v>
      </c>
      <c r="G33" s="15">
        <f>F33/D33</f>
        <v>0.807123655913978</v>
      </c>
      <c r="H33" s="5">
        <f>B33-C33</f>
        <v>0</v>
      </c>
      <c r="I33" s="15">
        <f>H33/B33</f>
        <v>0</v>
      </c>
      <c r="J33" s="5">
        <f>C33-D33</f>
        <v>1936</v>
      </c>
      <c r="K33" s="15">
        <f>J33/B33</f>
        <v>0.565420560747664</v>
      </c>
      <c r="L33" s="5">
        <f>B33-D33</f>
        <v>1936</v>
      </c>
      <c r="M33" s="15">
        <f>L33/B33</f>
        <v>0.565420560747664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7.55" spans="1:25">
      <c r="A34" s="2" t="s">
        <v>0</v>
      </c>
      <c r="B34" s="9" t="s">
        <v>1</v>
      </c>
      <c r="C34" s="9" t="s">
        <v>2</v>
      </c>
      <c r="D34" s="2" t="s">
        <v>3</v>
      </c>
      <c r="E34" s="2" t="s">
        <v>57</v>
      </c>
      <c r="F34" s="2" t="s">
        <v>58</v>
      </c>
      <c r="G34" s="2" t="s">
        <v>59</v>
      </c>
      <c r="H34" s="2" t="s">
        <v>4</v>
      </c>
      <c r="I34" s="2" t="s">
        <v>5</v>
      </c>
      <c r="J34" s="2" t="s">
        <v>6</v>
      </c>
      <c r="K34" s="2" t="s">
        <v>7</v>
      </c>
      <c r="L34" s="2" t="s">
        <v>8</v>
      </c>
      <c r="M34" s="2" t="s">
        <v>9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spans="1:25">
      <c r="A35" s="10" t="s">
        <v>51</v>
      </c>
      <c r="B35" s="11">
        <f t="shared" ref="B35:F35" si="0">SUM(B2:B33)</f>
        <v>117194</v>
      </c>
      <c r="C35" s="11">
        <f t="shared" si="0"/>
        <v>76609</v>
      </c>
      <c r="D35" s="11">
        <f t="shared" si="0"/>
        <v>46329</v>
      </c>
      <c r="E35" s="11">
        <f t="shared" si="0"/>
        <v>17318</v>
      </c>
      <c r="F35" s="11">
        <f t="shared" si="0"/>
        <v>29011</v>
      </c>
      <c r="G35" s="16">
        <f>F35/D35</f>
        <v>0.626195255671394</v>
      </c>
      <c r="H35" s="11">
        <f>SUM(H2:H33)</f>
        <v>40585</v>
      </c>
      <c r="I35" s="18">
        <f>H35/B35</f>
        <v>0.34630612488694</v>
      </c>
      <c r="J35" s="11">
        <f>C35-D35</f>
        <v>30280</v>
      </c>
      <c r="K35" s="18">
        <f>J35/C35</f>
        <v>0.395253821352583</v>
      </c>
      <c r="L35" s="11">
        <f>B35-D35</f>
        <v>70865</v>
      </c>
      <c r="M35" s="18">
        <f>L35/B35</f>
        <v>0.604681127020155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spans="1:25">
      <c r="A36" s="10" t="s">
        <v>52</v>
      </c>
      <c r="B36" s="12">
        <f t="shared" ref="B36:F36" si="1">ROUNDUP(B35/1024,0)</f>
        <v>115</v>
      </c>
      <c r="C36" s="12">
        <f t="shared" si="1"/>
        <v>75</v>
      </c>
      <c r="D36" s="12">
        <f t="shared" si="1"/>
        <v>46</v>
      </c>
      <c r="E36" s="12">
        <f t="shared" si="1"/>
        <v>17</v>
      </c>
      <c r="F36" s="12">
        <f t="shared" si="1"/>
        <v>29</v>
      </c>
      <c r="G36" s="17"/>
      <c r="H36" s="12">
        <f t="shared" ref="H36:L36" si="2">ROUNDUP(H35/1024,0)</f>
        <v>40</v>
      </c>
      <c r="I36" s="18"/>
      <c r="J36" s="12">
        <f t="shared" si="2"/>
        <v>30</v>
      </c>
      <c r="K36" s="18"/>
      <c r="L36" s="12">
        <f t="shared" si="2"/>
        <v>70</v>
      </c>
      <c r="M36" s="18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spans="1: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spans="1: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spans="1: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spans="1: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spans="1: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spans="1: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spans="1: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spans="1: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spans="1: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spans="1: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spans="1: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spans="1: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spans="1: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spans="1: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spans="1: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spans="1: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spans="1: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</sheetData>
  <mergeCells count="5">
    <mergeCell ref="G35:G36"/>
    <mergeCell ref="I35:I36"/>
    <mergeCell ref="K35:K36"/>
    <mergeCell ref="M35:M36"/>
    <mergeCell ref="N1:Y32"/>
  </mergeCell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Iteration 1</vt:lpstr>
      <vt:lpstr>Iteration 2</vt:lpstr>
      <vt:lpstr>Iteration 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theancientowl</dc:creator>
  <cp:lastModifiedBy>Alexandru Delegeanu</cp:lastModifiedBy>
  <dcterms:created xsi:type="dcterms:W3CDTF">2025-10-09T22:23:00Z</dcterms:created>
  <dcterms:modified xsi:type="dcterms:W3CDTF">2025-11-02T03:12:33Z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407C1B6F4B577AE1470DE968A17F339A_43</vt:lpwstr>
  </property>
  <property fmtid="{D5CDD505-2E9C-101B-9397-08002B2CF9AE}" pid="3" name="KSOProductBuildVer">
    <vt:lpwstr>1033-6.15.0.8733</vt:lpwstr>
  </property>
</Properties>
</file>